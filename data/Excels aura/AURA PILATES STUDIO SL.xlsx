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.muliterno\Desktop\PILATES\"/>
    </mc:Choice>
  </mc:AlternateContent>
  <xr:revisionPtr revIDLastSave="0" documentId="13_ncr:1_{9732DD9A-1BE9-45FB-AC1A-3919B40CEEAC}" xr6:coauthVersionLast="47" xr6:coauthVersionMax="47" xr10:uidLastSave="{00000000-0000-0000-0000-000000000000}"/>
  <bookViews>
    <workbookView xWindow="-108" yWindow="-108" windowWidth="23256" windowHeight="12456" tabRatio="945" activeTab="3" xr2:uid="{77D840A0-4D4E-4271-B168-444D14CD8E41}"/>
  </bookViews>
  <sheets>
    <sheet name="CUANTOS SOCIOS NECESITAMOS" sheetId="30" r:id="rId1"/>
    <sheet name="CAPACITAT ACTUAL" sheetId="29" r:id="rId2"/>
    <sheet name="SOUS INSTRUCTORS" sheetId="34" r:id="rId3"/>
    <sheet name="INGRESOS SEMANALES" sheetId="31" r:id="rId4"/>
    <sheet name="Hoja2" sheetId="33" r:id="rId5"/>
    <sheet name="PUNTOS RELEVANTES" sheetId="11" r:id="rId6"/>
    <sheet name="P&amp;L supuesto" sheetId="16" r:id="rId7"/>
    <sheet name="P&amp;L real" sheetId="27" r:id="rId8"/>
    <sheet name="COMPETENCIA" sheetId="19" r:id="rId9"/>
    <sheet name="1 INSTRUCTOR" sheetId="10" r:id="rId10"/>
    <sheet name="1,5 INSTRUCTORS" sheetId="21" r:id="rId11"/>
    <sheet name="2 INSTRUCTORS" sheetId="22" r:id="rId12"/>
    <sheet name="2 INSTRUCT 30H" sheetId="26" r:id="rId13"/>
  </sheets>
  <externalReferences>
    <externalReference r:id="rId14"/>
  </externalReferences>
  <definedNames>
    <definedName name="DiasCategorias">[1]Diario!$F$2:$F$366</definedName>
    <definedName name="FechaInicio">[1]Completo!$B$1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31" l="1"/>
  <c r="X21" i="31"/>
  <c r="W21" i="31"/>
  <c r="V21" i="31"/>
  <c r="U21" i="31"/>
  <c r="T21" i="31"/>
  <c r="S21" i="31"/>
  <c r="R21" i="31"/>
  <c r="Q21" i="31"/>
  <c r="P21" i="31"/>
  <c r="O21" i="31"/>
  <c r="Y21" i="31" s="1"/>
  <c r="X20" i="31"/>
  <c r="W20" i="31"/>
  <c r="V20" i="31"/>
  <c r="U20" i="31"/>
  <c r="T20" i="31"/>
  <c r="S20" i="31"/>
  <c r="R20" i="31"/>
  <c r="Q20" i="31"/>
  <c r="P20" i="31"/>
  <c r="O20" i="31"/>
  <c r="X19" i="31"/>
  <c r="W19" i="31"/>
  <c r="V19" i="31"/>
  <c r="U19" i="31"/>
  <c r="T19" i="31"/>
  <c r="S19" i="31"/>
  <c r="R19" i="31"/>
  <c r="Q19" i="31"/>
  <c r="P19" i="31"/>
  <c r="O19" i="31"/>
  <c r="E60" i="26"/>
  <c r="G59" i="26"/>
  <c r="E59" i="26"/>
  <c r="G58" i="26"/>
  <c r="E58" i="26"/>
  <c r="G57" i="26"/>
  <c r="E57" i="26"/>
  <c r="G56" i="26"/>
  <c r="E56" i="26"/>
  <c r="G55" i="26"/>
  <c r="E55" i="26"/>
  <c r="O54" i="26"/>
  <c r="N54" i="26"/>
  <c r="M54" i="26"/>
  <c r="O53" i="26"/>
  <c r="N53" i="26"/>
  <c r="O52" i="26"/>
  <c r="N52" i="26"/>
  <c r="M52" i="26"/>
  <c r="C52" i="26"/>
  <c r="O51" i="26"/>
  <c r="N51" i="26"/>
  <c r="E49" i="26"/>
  <c r="M48" i="26"/>
  <c r="G48" i="26"/>
  <c r="E48" i="26"/>
  <c r="M47" i="26"/>
  <c r="G47" i="26"/>
  <c r="E47" i="26"/>
  <c r="G46" i="26"/>
  <c r="E46" i="26"/>
  <c r="G45" i="26"/>
  <c r="E45" i="26"/>
  <c r="G44" i="26"/>
  <c r="E44" i="26"/>
  <c r="C41" i="26"/>
  <c r="E38" i="26"/>
  <c r="G37" i="26"/>
  <c r="E37" i="26"/>
  <c r="G36" i="26"/>
  <c r="E36" i="26"/>
  <c r="G35" i="26"/>
  <c r="E35" i="26"/>
  <c r="G34" i="26"/>
  <c r="E34" i="26"/>
  <c r="G33" i="26"/>
  <c r="E33" i="26"/>
  <c r="C30" i="26"/>
  <c r="V28" i="26"/>
  <c r="S28" i="26"/>
  <c r="P28" i="26"/>
  <c r="M28" i="26"/>
  <c r="V27" i="26"/>
  <c r="S27" i="26"/>
  <c r="P27" i="26"/>
  <c r="M27" i="26"/>
  <c r="E27" i="26"/>
  <c r="V26" i="26"/>
  <c r="S26" i="26"/>
  <c r="P26" i="26"/>
  <c r="M26" i="26"/>
  <c r="G26" i="26"/>
  <c r="E26" i="26"/>
  <c r="V25" i="26"/>
  <c r="S25" i="26"/>
  <c r="P25" i="26"/>
  <c r="M25" i="26"/>
  <c r="G25" i="26"/>
  <c r="E25" i="26"/>
  <c r="V24" i="26"/>
  <c r="S24" i="26"/>
  <c r="P24" i="26"/>
  <c r="M24" i="26"/>
  <c r="G24" i="26"/>
  <c r="E24" i="26"/>
  <c r="V23" i="26"/>
  <c r="S23" i="26"/>
  <c r="P23" i="26"/>
  <c r="M23" i="26"/>
  <c r="G23" i="26"/>
  <c r="E23" i="26"/>
  <c r="G22" i="26"/>
  <c r="E22" i="26"/>
  <c r="C19" i="26"/>
  <c r="V18" i="26"/>
  <c r="S18" i="26"/>
  <c r="P18" i="26"/>
  <c r="M18" i="26"/>
  <c r="V17" i="26"/>
  <c r="S17" i="26"/>
  <c r="P17" i="26"/>
  <c r="M17" i="26"/>
  <c r="I17" i="26"/>
  <c r="V16" i="26"/>
  <c r="S16" i="26"/>
  <c r="P16" i="26"/>
  <c r="M16" i="26"/>
  <c r="I16" i="26"/>
  <c r="H16" i="26"/>
  <c r="G16" i="26"/>
  <c r="F16" i="26"/>
  <c r="E16" i="26"/>
  <c r="D16" i="26"/>
  <c r="C16" i="26"/>
  <c r="V15" i="26"/>
  <c r="S15" i="26"/>
  <c r="P15" i="26"/>
  <c r="M15" i="26"/>
  <c r="I15" i="26"/>
  <c r="V14" i="26"/>
  <c r="S14" i="26"/>
  <c r="P14" i="26"/>
  <c r="M14" i="26"/>
  <c r="I14" i="26"/>
  <c r="I13" i="26"/>
  <c r="I12" i="26"/>
  <c r="I11" i="26"/>
  <c r="I10" i="26"/>
  <c r="V9" i="26"/>
  <c r="S9" i="26"/>
  <c r="P9" i="26"/>
  <c r="M9" i="26"/>
  <c r="I9" i="26"/>
  <c r="V8" i="26"/>
  <c r="S8" i="26"/>
  <c r="P8" i="26"/>
  <c r="M8" i="26"/>
  <c r="I8" i="26"/>
  <c r="V7" i="26"/>
  <c r="S7" i="26"/>
  <c r="P7" i="26"/>
  <c r="M7" i="26"/>
  <c r="I7" i="26"/>
  <c r="V6" i="26"/>
  <c r="S6" i="26"/>
  <c r="P6" i="26"/>
  <c r="I6" i="26"/>
  <c r="V5" i="26"/>
  <c r="S5" i="26"/>
  <c r="P5" i="26"/>
  <c r="M5" i="26"/>
  <c r="I5" i="26"/>
  <c r="I4" i="26"/>
  <c r="V3" i="26"/>
  <c r="S3" i="26"/>
  <c r="P3" i="26"/>
  <c r="M3" i="26"/>
  <c r="E60" i="22"/>
  <c r="G59" i="22"/>
  <c r="E59" i="22"/>
  <c r="G58" i="22"/>
  <c r="E58" i="22"/>
  <c r="G57" i="22"/>
  <c r="E57" i="22"/>
  <c r="G56" i="22"/>
  <c r="E56" i="22"/>
  <c r="G55" i="22"/>
  <c r="E55" i="22"/>
  <c r="C52" i="22"/>
  <c r="E49" i="22"/>
  <c r="G48" i="22"/>
  <c r="E48" i="22"/>
  <c r="G47" i="22"/>
  <c r="E47" i="22"/>
  <c r="G46" i="22"/>
  <c r="E46" i="22"/>
  <c r="G45" i="22"/>
  <c r="E45" i="22"/>
  <c r="G44" i="22"/>
  <c r="E44" i="22"/>
  <c r="C41" i="22"/>
  <c r="E38" i="22"/>
  <c r="G37" i="22"/>
  <c r="E37" i="22"/>
  <c r="G36" i="22"/>
  <c r="E36" i="22"/>
  <c r="G35" i="22"/>
  <c r="E35" i="22"/>
  <c r="G34" i="22"/>
  <c r="E34" i="22"/>
  <c r="G33" i="22"/>
  <c r="E33" i="22"/>
  <c r="C30" i="22"/>
  <c r="V28" i="22"/>
  <c r="S28" i="22"/>
  <c r="P28" i="22"/>
  <c r="M28" i="22"/>
  <c r="V27" i="22"/>
  <c r="S27" i="22"/>
  <c r="P27" i="22"/>
  <c r="M27" i="22"/>
  <c r="E27" i="22"/>
  <c r="V26" i="22"/>
  <c r="S26" i="22"/>
  <c r="P26" i="22"/>
  <c r="M26" i="22"/>
  <c r="G26" i="22"/>
  <c r="E26" i="22"/>
  <c r="V25" i="22"/>
  <c r="S25" i="22"/>
  <c r="P25" i="22"/>
  <c r="M25" i="22"/>
  <c r="G25" i="22"/>
  <c r="E25" i="22"/>
  <c r="V24" i="22"/>
  <c r="S24" i="22"/>
  <c r="P24" i="22"/>
  <c r="M24" i="22"/>
  <c r="G24" i="22"/>
  <c r="E24" i="22"/>
  <c r="V23" i="22"/>
  <c r="S23" i="22"/>
  <c r="P23" i="22"/>
  <c r="M23" i="22"/>
  <c r="G23" i="22"/>
  <c r="E23" i="22"/>
  <c r="G22" i="22"/>
  <c r="E22" i="22"/>
  <c r="C19" i="22"/>
  <c r="V18" i="22"/>
  <c r="S18" i="22"/>
  <c r="P18" i="22"/>
  <c r="M18" i="22"/>
  <c r="V17" i="22"/>
  <c r="S17" i="22"/>
  <c r="P17" i="22"/>
  <c r="M17" i="22"/>
  <c r="I17" i="22"/>
  <c r="V16" i="22"/>
  <c r="S16" i="22"/>
  <c r="P16" i="22"/>
  <c r="M16" i="22"/>
  <c r="I16" i="22"/>
  <c r="H16" i="22"/>
  <c r="G16" i="22"/>
  <c r="F16" i="22"/>
  <c r="E16" i="22"/>
  <c r="D16" i="22"/>
  <c r="C16" i="22"/>
  <c r="V15" i="22"/>
  <c r="S15" i="22"/>
  <c r="P15" i="22"/>
  <c r="M15" i="22"/>
  <c r="I15" i="22"/>
  <c r="V14" i="22"/>
  <c r="S14" i="22"/>
  <c r="P14" i="22"/>
  <c r="M14" i="22"/>
  <c r="I14" i="22"/>
  <c r="I13" i="22"/>
  <c r="I12" i="22"/>
  <c r="I11" i="22"/>
  <c r="I10" i="22"/>
  <c r="V9" i="22"/>
  <c r="S9" i="22"/>
  <c r="P9" i="22"/>
  <c r="M9" i="22"/>
  <c r="I9" i="22"/>
  <c r="V8" i="22"/>
  <c r="S8" i="22"/>
  <c r="P8" i="22"/>
  <c r="M8" i="22"/>
  <c r="I8" i="22"/>
  <c r="V7" i="22"/>
  <c r="S7" i="22"/>
  <c r="P7" i="22"/>
  <c r="M7" i="22"/>
  <c r="I7" i="22"/>
  <c r="V6" i="22"/>
  <c r="S6" i="22"/>
  <c r="P6" i="22"/>
  <c r="I6" i="22"/>
  <c r="V5" i="22"/>
  <c r="S5" i="22"/>
  <c r="P5" i="22"/>
  <c r="M5" i="22"/>
  <c r="I5" i="22"/>
  <c r="I4" i="22"/>
  <c r="V3" i="22"/>
  <c r="S3" i="22"/>
  <c r="P3" i="22"/>
  <c r="M3" i="22"/>
  <c r="I3" i="22"/>
  <c r="E60" i="21"/>
  <c r="G59" i="21"/>
  <c r="E59" i="21"/>
  <c r="G58" i="21"/>
  <c r="E58" i="21"/>
  <c r="G57" i="21"/>
  <c r="E57" i="21"/>
  <c r="G56" i="21"/>
  <c r="E56" i="21"/>
  <c r="G55" i="21"/>
  <c r="E55" i="21"/>
  <c r="C52" i="21"/>
  <c r="E49" i="21"/>
  <c r="G48" i="21"/>
  <c r="E48" i="21"/>
  <c r="G47" i="21"/>
  <c r="E47" i="21"/>
  <c r="G46" i="21"/>
  <c r="E46" i="21"/>
  <c r="G45" i="21"/>
  <c r="E45" i="21"/>
  <c r="G44" i="21"/>
  <c r="E44" i="21"/>
  <c r="C41" i="21"/>
  <c r="E38" i="21"/>
  <c r="G37" i="21"/>
  <c r="E37" i="21"/>
  <c r="G36" i="21"/>
  <c r="E36" i="21"/>
  <c r="G35" i="21"/>
  <c r="E35" i="21"/>
  <c r="G34" i="21"/>
  <c r="E34" i="21"/>
  <c r="G33" i="21"/>
  <c r="E33" i="21"/>
  <c r="C30" i="21"/>
  <c r="V28" i="21"/>
  <c r="S28" i="21"/>
  <c r="P28" i="21"/>
  <c r="M28" i="21"/>
  <c r="V27" i="21"/>
  <c r="S27" i="21"/>
  <c r="P27" i="21"/>
  <c r="M27" i="21"/>
  <c r="E27" i="21"/>
  <c r="V26" i="21"/>
  <c r="S26" i="21"/>
  <c r="P26" i="21"/>
  <c r="M26" i="21"/>
  <c r="G26" i="21"/>
  <c r="E26" i="21"/>
  <c r="V25" i="21"/>
  <c r="S25" i="21"/>
  <c r="P25" i="21"/>
  <c r="M25" i="21"/>
  <c r="G25" i="21"/>
  <c r="E25" i="21"/>
  <c r="V24" i="21"/>
  <c r="S24" i="21"/>
  <c r="P24" i="21"/>
  <c r="M24" i="21"/>
  <c r="G24" i="21"/>
  <c r="E24" i="21"/>
  <c r="V23" i="21"/>
  <c r="S23" i="21"/>
  <c r="P23" i="21"/>
  <c r="M23" i="21"/>
  <c r="G23" i="21"/>
  <c r="E23" i="21"/>
  <c r="G22" i="21"/>
  <c r="E22" i="21"/>
  <c r="C19" i="21"/>
  <c r="V18" i="21"/>
  <c r="S18" i="21"/>
  <c r="P18" i="21"/>
  <c r="M18" i="21"/>
  <c r="V17" i="21"/>
  <c r="S17" i="21"/>
  <c r="P17" i="21"/>
  <c r="M17" i="21"/>
  <c r="V16" i="21"/>
  <c r="S16" i="21"/>
  <c r="P16" i="21"/>
  <c r="M16" i="21"/>
  <c r="I16" i="21"/>
  <c r="V15" i="21"/>
  <c r="S15" i="21"/>
  <c r="P15" i="21"/>
  <c r="M15" i="21"/>
  <c r="I15" i="21"/>
  <c r="H15" i="21"/>
  <c r="G15" i="21"/>
  <c r="F15" i="21"/>
  <c r="E15" i="21"/>
  <c r="D15" i="21"/>
  <c r="C15" i="21"/>
  <c r="V14" i="21"/>
  <c r="S14" i="21"/>
  <c r="P14" i="21"/>
  <c r="M14" i="21"/>
  <c r="I14" i="21"/>
  <c r="I13" i="21"/>
  <c r="I12" i="21"/>
  <c r="I11" i="21"/>
  <c r="I10" i="21"/>
  <c r="V9" i="21"/>
  <c r="S9" i="21"/>
  <c r="P9" i="21"/>
  <c r="M9" i="21"/>
  <c r="I9" i="21"/>
  <c r="V8" i="21"/>
  <c r="S8" i="21"/>
  <c r="P8" i="21"/>
  <c r="M8" i="21"/>
  <c r="I8" i="21"/>
  <c r="V7" i="21"/>
  <c r="S7" i="21"/>
  <c r="P7" i="21"/>
  <c r="M7" i="21"/>
  <c r="I7" i="21"/>
  <c r="V6" i="21"/>
  <c r="S6" i="21"/>
  <c r="P6" i="21"/>
  <c r="I6" i="21"/>
  <c r="V5" i="21"/>
  <c r="S5" i="21"/>
  <c r="P5" i="21"/>
  <c r="M5" i="21"/>
  <c r="I5" i="21"/>
  <c r="I4" i="21"/>
  <c r="V3" i="21"/>
  <c r="S3" i="21"/>
  <c r="P3" i="21"/>
  <c r="M3" i="21"/>
  <c r="I3" i="21"/>
  <c r="E57" i="10"/>
  <c r="G56" i="10"/>
  <c r="E56" i="10"/>
  <c r="G55" i="10"/>
  <c r="E55" i="10"/>
  <c r="G54" i="10"/>
  <c r="E54" i="10"/>
  <c r="G53" i="10"/>
  <c r="E53" i="10"/>
  <c r="G52" i="10"/>
  <c r="E52" i="10"/>
  <c r="C49" i="10"/>
  <c r="E46" i="10"/>
  <c r="G45" i="10"/>
  <c r="E45" i="10"/>
  <c r="G44" i="10"/>
  <c r="E44" i="10"/>
  <c r="G43" i="10"/>
  <c r="E43" i="10"/>
  <c r="G42" i="10"/>
  <c r="E42" i="10"/>
  <c r="G41" i="10"/>
  <c r="E41" i="10"/>
  <c r="C38" i="10"/>
  <c r="E35" i="10"/>
  <c r="G34" i="10"/>
  <c r="E34" i="10"/>
  <c r="G33" i="10"/>
  <c r="E33" i="10"/>
  <c r="G32" i="10"/>
  <c r="E32" i="10"/>
  <c r="G31" i="10"/>
  <c r="E31" i="10"/>
  <c r="G30" i="10"/>
  <c r="E30" i="10"/>
  <c r="V28" i="10"/>
  <c r="S28" i="10"/>
  <c r="P28" i="10"/>
  <c r="M28" i="10"/>
  <c r="V27" i="10"/>
  <c r="S27" i="10"/>
  <c r="P27" i="10"/>
  <c r="M27" i="10"/>
  <c r="C27" i="10"/>
  <c r="V26" i="10"/>
  <c r="S26" i="10"/>
  <c r="P26" i="10"/>
  <c r="M26" i="10"/>
  <c r="V25" i="10"/>
  <c r="S25" i="10"/>
  <c r="P25" i="10"/>
  <c r="M25" i="10"/>
  <c r="V24" i="10"/>
  <c r="S24" i="10"/>
  <c r="P24" i="10"/>
  <c r="M24" i="10"/>
  <c r="E24" i="10"/>
  <c r="V23" i="10"/>
  <c r="S23" i="10"/>
  <c r="P23" i="10"/>
  <c r="M23" i="10"/>
  <c r="G23" i="10"/>
  <c r="E23" i="10"/>
  <c r="G22" i="10"/>
  <c r="E22" i="10"/>
  <c r="G21" i="10"/>
  <c r="E21" i="10"/>
  <c r="G20" i="10"/>
  <c r="E20" i="10"/>
  <c r="G19" i="10"/>
  <c r="E19" i="10"/>
  <c r="V18" i="10"/>
  <c r="S18" i="10"/>
  <c r="P18" i="10"/>
  <c r="M18" i="10"/>
  <c r="V17" i="10"/>
  <c r="S17" i="10"/>
  <c r="P17" i="10"/>
  <c r="M17" i="10"/>
  <c r="V16" i="10"/>
  <c r="S16" i="10"/>
  <c r="P16" i="10"/>
  <c r="M16" i="10"/>
  <c r="C16" i="10"/>
  <c r="V15" i="10"/>
  <c r="S15" i="10"/>
  <c r="P15" i="10"/>
  <c r="M15" i="10"/>
  <c r="V14" i="10"/>
  <c r="S14" i="10"/>
  <c r="P14" i="10"/>
  <c r="M14" i="10"/>
  <c r="I11" i="10"/>
  <c r="V9" i="10"/>
  <c r="S9" i="10"/>
  <c r="P9" i="10"/>
  <c r="M9" i="10"/>
  <c r="I9" i="10"/>
  <c r="V8" i="10"/>
  <c r="S8" i="10"/>
  <c r="P8" i="10"/>
  <c r="M8" i="10"/>
  <c r="I8" i="10"/>
  <c r="V7" i="10"/>
  <c r="S7" i="10"/>
  <c r="P7" i="10"/>
  <c r="M7" i="10"/>
  <c r="I7" i="10"/>
  <c r="V6" i="10"/>
  <c r="S6" i="10"/>
  <c r="P6" i="10"/>
  <c r="I6" i="10"/>
  <c r="V5" i="10"/>
  <c r="S5" i="10"/>
  <c r="P5" i="10"/>
  <c r="M5" i="10"/>
  <c r="I5" i="10"/>
  <c r="I4" i="10"/>
  <c r="V3" i="10"/>
  <c r="S3" i="10"/>
  <c r="P3" i="10"/>
  <c r="M3" i="10"/>
  <c r="D62" i="19"/>
  <c r="D61" i="19"/>
  <c r="D60" i="19"/>
  <c r="D55" i="19"/>
  <c r="D54" i="19"/>
  <c r="D53" i="19"/>
  <c r="D48" i="19"/>
  <c r="D47" i="19"/>
  <c r="D46" i="19"/>
  <c r="D41" i="19"/>
  <c r="D40" i="19"/>
  <c r="D39" i="19"/>
  <c r="D34" i="19"/>
  <c r="D33" i="19"/>
  <c r="D32" i="19"/>
  <c r="H27" i="19"/>
  <c r="D27" i="19"/>
  <c r="H26" i="19"/>
  <c r="D26" i="19"/>
  <c r="H25" i="19"/>
  <c r="D25" i="19"/>
  <c r="D20" i="19"/>
  <c r="H19" i="19"/>
  <c r="D19" i="19"/>
  <c r="H18" i="19"/>
  <c r="D18" i="19"/>
  <c r="D13" i="19"/>
  <c r="D12" i="19"/>
  <c r="D11" i="19"/>
  <c r="H6" i="19"/>
  <c r="H5" i="19"/>
  <c r="D5" i="19"/>
  <c r="H4" i="19"/>
  <c r="D4" i="19"/>
  <c r="AD95" i="27"/>
  <c r="R95" i="27"/>
  <c r="AE91" i="27"/>
  <c r="AD91" i="27"/>
  <c r="S91" i="27"/>
  <c r="R91" i="27"/>
  <c r="E91" i="27"/>
  <c r="AE90" i="27"/>
  <c r="AD90" i="27"/>
  <c r="S90" i="27"/>
  <c r="R90" i="27"/>
  <c r="E90" i="27"/>
  <c r="AE89" i="27"/>
  <c r="AD89" i="27"/>
  <c r="S89" i="27"/>
  <c r="R89" i="27"/>
  <c r="E89" i="27"/>
  <c r="AE88" i="27"/>
  <c r="AD88" i="27"/>
  <c r="S88" i="27"/>
  <c r="R88" i="27"/>
  <c r="E88" i="27"/>
  <c r="AE87" i="27"/>
  <c r="AD87" i="27"/>
  <c r="S87" i="27"/>
  <c r="R87" i="27"/>
  <c r="E87" i="27"/>
  <c r="AE86" i="27"/>
  <c r="AD86" i="27"/>
  <c r="S86" i="27"/>
  <c r="R86" i="27"/>
  <c r="E86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AO81" i="27"/>
  <c r="AN81" i="27"/>
  <c r="AM81" i="27"/>
  <c r="AL81" i="27"/>
  <c r="AK81" i="27"/>
  <c r="AJ81" i="27"/>
  <c r="AI81" i="27"/>
  <c r="AH81" i="27"/>
  <c r="AG81" i="27"/>
  <c r="AF81" i="27"/>
  <c r="AE81" i="27"/>
  <c r="AD81" i="27"/>
  <c r="AC81" i="27"/>
  <c r="AB81" i="27"/>
  <c r="AA81" i="27"/>
  <c r="Z81" i="27"/>
  <c r="Y81" i="27"/>
  <c r="X81" i="27"/>
  <c r="W81" i="27"/>
  <c r="V81" i="27"/>
  <c r="U81" i="27"/>
  <c r="T81" i="27"/>
  <c r="S81" i="27"/>
  <c r="R81" i="27"/>
  <c r="Q81" i="27"/>
  <c r="P81" i="27"/>
  <c r="O81" i="27"/>
  <c r="N81" i="27"/>
  <c r="M81" i="27"/>
  <c r="L81" i="27"/>
  <c r="K81" i="27"/>
  <c r="J81" i="27"/>
  <c r="I81" i="27"/>
  <c r="H81" i="27"/>
  <c r="G81" i="27"/>
  <c r="AO80" i="27"/>
  <c r="AN80" i="27"/>
  <c r="AM80" i="27"/>
  <c r="AL80" i="27"/>
  <c r="AK80" i="27"/>
  <c r="AJ80" i="27"/>
  <c r="AI80" i="27"/>
  <c r="AH80" i="27"/>
  <c r="AG80" i="27"/>
  <c r="AF80" i="27"/>
  <c r="AE80" i="27"/>
  <c r="AD80" i="27"/>
  <c r="AC80" i="27"/>
  <c r="AB80" i="27"/>
  <c r="AA80" i="27"/>
  <c r="Z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AO79" i="27"/>
  <c r="AN79" i="27"/>
  <c r="AM79" i="27"/>
  <c r="AL79" i="27"/>
  <c r="AK79" i="27"/>
  <c r="AJ79" i="27"/>
  <c r="AI79" i="27"/>
  <c r="AH79" i="27"/>
  <c r="AG79" i="27"/>
  <c r="AF79" i="27"/>
  <c r="AE79" i="27"/>
  <c r="AD79" i="27"/>
  <c r="AC79" i="27"/>
  <c r="AB79" i="27"/>
  <c r="AA79" i="27"/>
  <c r="Z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Z71" i="27"/>
  <c r="Y71" i="27"/>
  <c r="X71" i="27"/>
  <c r="W71" i="27"/>
  <c r="V71" i="27"/>
  <c r="U71" i="27"/>
  <c r="T71" i="27"/>
  <c r="S71" i="27"/>
  <c r="R71" i="27"/>
  <c r="Q71" i="27"/>
  <c r="P71" i="27"/>
  <c r="Z69" i="27"/>
  <c r="Y69" i="27"/>
  <c r="X69" i="27"/>
  <c r="W69" i="27"/>
  <c r="V69" i="27"/>
  <c r="U69" i="27"/>
  <c r="T69" i="27"/>
  <c r="S69" i="27"/>
  <c r="R69" i="27"/>
  <c r="Q69" i="27"/>
  <c r="P69" i="27"/>
  <c r="AO61" i="27"/>
  <c r="AN61" i="27"/>
  <c r="AM61" i="27"/>
  <c r="AL61" i="27"/>
  <c r="AK61" i="27"/>
  <c r="AJ61" i="27"/>
  <c r="AI61" i="27"/>
  <c r="AH61" i="27"/>
  <c r="AG61" i="27"/>
  <c r="AF61" i="27"/>
  <c r="AE61" i="27"/>
  <c r="AD61" i="27"/>
  <c r="AC61" i="27"/>
  <c r="AB61" i="27"/>
  <c r="AA61" i="27"/>
  <c r="Z61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E51" i="27"/>
  <c r="E48" i="27"/>
  <c r="D48" i="27"/>
  <c r="C48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G30" i="27"/>
  <c r="E25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AO15" i="27"/>
  <c r="AN15" i="27"/>
  <c r="AM15" i="27"/>
  <c r="AL15" i="27"/>
  <c r="AK15" i="27"/>
  <c r="AJ15" i="27"/>
  <c r="AI15" i="27"/>
  <c r="AH15" i="27"/>
  <c r="AG15" i="27"/>
  <c r="AF15" i="27"/>
  <c r="AE15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O14" i="27"/>
  <c r="AN14" i="27"/>
  <c r="AM14" i="27"/>
  <c r="AL14" i="27"/>
  <c r="AK14" i="27"/>
  <c r="AJ14" i="27"/>
  <c r="AI14" i="27"/>
  <c r="AH14" i="27"/>
  <c r="AG14" i="27"/>
  <c r="AF14" i="27"/>
  <c r="AE14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AO13" i="27"/>
  <c r="AN13" i="27"/>
  <c r="AM13" i="27"/>
  <c r="AL13" i="27"/>
  <c r="AK13" i="27"/>
  <c r="AJ13" i="27"/>
  <c r="AI13" i="27"/>
  <c r="AH13" i="27"/>
  <c r="AG13" i="27"/>
  <c r="AF13" i="27"/>
  <c r="AE13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O12" i="27"/>
  <c r="AN12" i="27"/>
  <c r="AM12" i="27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O11" i="27"/>
  <c r="AN11" i="27"/>
  <c r="AM11" i="27"/>
  <c r="AL11" i="27"/>
  <c r="AK11" i="27"/>
  <c r="AJ11" i="27"/>
  <c r="AI11" i="27"/>
  <c r="AH11" i="27"/>
  <c r="AG11" i="27"/>
  <c r="AF11" i="27"/>
  <c r="AE11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O9" i="27"/>
  <c r="AN9" i="27"/>
  <c r="AM9" i="27"/>
  <c r="AL9" i="27"/>
  <c r="AK9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O8" i="27"/>
  <c r="AN8" i="27"/>
  <c r="AM8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AO7" i="27"/>
  <c r="AN7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AP6" i="27"/>
  <c r="AO6" i="27"/>
  <c r="AN6" i="27"/>
  <c r="AM6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AP4" i="27"/>
  <c r="AO4" i="27"/>
  <c r="AN4" i="27"/>
  <c r="AM4" i="27"/>
  <c r="AL4" i="27"/>
  <c r="AK4" i="27"/>
  <c r="AJ4" i="27"/>
  <c r="AI4" i="27"/>
  <c r="AH4" i="27"/>
  <c r="AG4" i="27"/>
  <c r="AF4" i="27"/>
  <c r="AE4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AP3" i="27"/>
  <c r="AO3" i="27"/>
  <c r="AN3" i="27"/>
  <c r="AM3" i="27"/>
  <c r="AL3" i="27"/>
  <c r="AK3" i="27"/>
  <c r="AJ3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AP2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AC70" i="16"/>
  <c r="Q70" i="16"/>
  <c r="AD67" i="16"/>
  <c r="AC67" i="16"/>
  <c r="R67" i="16"/>
  <c r="Q67" i="16"/>
  <c r="D67" i="16"/>
  <c r="AD66" i="16"/>
  <c r="AC66" i="16"/>
  <c r="R66" i="16"/>
  <c r="Q66" i="16"/>
  <c r="D66" i="16"/>
  <c r="AD65" i="16"/>
  <c r="AC65" i="16"/>
  <c r="R65" i="16"/>
  <c r="Q65" i="16"/>
  <c r="D65" i="16"/>
  <c r="AD64" i="16"/>
  <c r="AC64" i="16"/>
  <c r="R64" i="16"/>
  <c r="Q64" i="16"/>
  <c r="D64" i="16"/>
  <c r="AD63" i="16"/>
  <c r="AC63" i="16"/>
  <c r="R63" i="16"/>
  <c r="Q63" i="16"/>
  <c r="D63" i="16"/>
  <c r="AN59" i="16"/>
  <c r="AM59" i="16"/>
  <c r="AL59" i="16"/>
  <c r="AK59" i="16"/>
  <c r="AJ59" i="16"/>
  <c r="AI59" i="16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H59" i="16"/>
  <c r="G59" i="16"/>
  <c r="F59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Y49" i="16"/>
  <c r="X49" i="16"/>
  <c r="W49" i="16"/>
  <c r="V49" i="16"/>
  <c r="U49" i="16"/>
  <c r="T49" i="16"/>
  <c r="S49" i="16"/>
  <c r="R49" i="16"/>
  <c r="Q49" i="16"/>
  <c r="P49" i="16"/>
  <c r="O49" i="16"/>
  <c r="Y48" i="16"/>
  <c r="X48" i="16"/>
  <c r="W48" i="16"/>
  <c r="V48" i="16"/>
  <c r="U48" i="16"/>
  <c r="T48" i="16"/>
  <c r="S48" i="16"/>
  <c r="R48" i="16"/>
  <c r="Q48" i="16"/>
  <c r="P48" i="16"/>
  <c r="O48" i="16"/>
  <c r="C40" i="16"/>
  <c r="AN36" i="16"/>
  <c r="AM36" i="16"/>
  <c r="AL36" i="16"/>
  <c r="AK36" i="16"/>
  <c r="AJ36" i="16"/>
  <c r="AI36" i="16"/>
  <c r="AH36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D23" i="16"/>
  <c r="C23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N8" i="16"/>
  <c r="AM8" i="16"/>
  <c r="AL8" i="16"/>
  <c r="AK8" i="16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I94" i="11"/>
  <c r="I93" i="11"/>
  <c r="I92" i="11"/>
  <c r="I91" i="11"/>
  <c r="F91" i="11"/>
  <c r="I90" i="11"/>
  <c r="F90" i="11"/>
  <c r="K87" i="11"/>
  <c r="K86" i="11"/>
  <c r="J86" i="11"/>
  <c r="I86" i="11"/>
  <c r="C86" i="11"/>
  <c r="K85" i="11"/>
  <c r="J85" i="11"/>
  <c r="I85" i="11"/>
  <c r="K84" i="11"/>
  <c r="J84" i="11"/>
  <c r="I84" i="11"/>
  <c r="K83" i="11"/>
  <c r="J83" i="11"/>
  <c r="I83" i="11"/>
  <c r="K82" i="11"/>
  <c r="J82" i="11"/>
  <c r="I82" i="11"/>
  <c r="C81" i="11"/>
  <c r="C80" i="11"/>
  <c r="K79" i="11"/>
  <c r="K78" i="11"/>
  <c r="J78" i="11"/>
  <c r="I78" i="11"/>
  <c r="K77" i="11"/>
  <c r="J77" i="11"/>
  <c r="I77" i="11"/>
  <c r="K76" i="11"/>
  <c r="J76" i="11"/>
  <c r="I76" i="11"/>
  <c r="K75" i="11"/>
  <c r="J75" i="11"/>
  <c r="I75" i="11"/>
  <c r="K74" i="11"/>
  <c r="J74" i="11"/>
  <c r="I74" i="11"/>
  <c r="K73" i="11"/>
  <c r="J73" i="11"/>
  <c r="I73" i="11"/>
  <c r="L69" i="11"/>
  <c r="I69" i="11"/>
  <c r="F69" i="11"/>
  <c r="C69" i="11"/>
  <c r="L68" i="11"/>
  <c r="I68" i="11"/>
  <c r="F68" i="11"/>
  <c r="C68" i="11"/>
  <c r="D43" i="11"/>
  <c r="D42" i="11"/>
  <c r="D41" i="11"/>
  <c r="E60" i="33"/>
  <c r="G59" i="33"/>
  <c r="E59" i="33"/>
  <c r="G58" i="33"/>
  <c r="E58" i="33"/>
  <c r="G57" i="33"/>
  <c r="E57" i="33"/>
  <c r="G56" i="33"/>
  <c r="E56" i="33"/>
  <c r="G55" i="33"/>
  <c r="E55" i="33"/>
  <c r="C52" i="33"/>
  <c r="E49" i="33"/>
  <c r="G48" i="33"/>
  <c r="E48" i="33"/>
  <c r="G47" i="33"/>
  <c r="E47" i="33"/>
  <c r="G46" i="33"/>
  <c r="E46" i="33"/>
  <c r="O45" i="33"/>
  <c r="M45" i="33"/>
  <c r="G45" i="33"/>
  <c r="E45" i="33"/>
  <c r="G44" i="33"/>
  <c r="E44" i="33"/>
  <c r="C41" i="33"/>
  <c r="E38" i="33"/>
  <c r="G37" i="33"/>
  <c r="E37" i="33"/>
  <c r="G36" i="33"/>
  <c r="E36" i="33"/>
  <c r="G35" i="33"/>
  <c r="E35" i="33"/>
  <c r="G34" i="33"/>
  <c r="E34" i="33"/>
  <c r="G33" i="33"/>
  <c r="E33" i="33"/>
  <c r="C30" i="33"/>
  <c r="V28" i="33"/>
  <c r="S28" i="33"/>
  <c r="P28" i="33"/>
  <c r="M28" i="33"/>
  <c r="V27" i="33"/>
  <c r="S27" i="33"/>
  <c r="P27" i="33"/>
  <c r="M27" i="33"/>
  <c r="E27" i="33"/>
  <c r="V26" i="33"/>
  <c r="S26" i="33"/>
  <c r="P26" i="33"/>
  <c r="M26" i="33"/>
  <c r="G26" i="33"/>
  <c r="E26" i="33"/>
  <c r="V25" i="33"/>
  <c r="S25" i="33"/>
  <c r="P25" i="33"/>
  <c r="M25" i="33"/>
  <c r="G25" i="33"/>
  <c r="E25" i="33"/>
  <c r="V24" i="33"/>
  <c r="S24" i="33"/>
  <c r="P24" i="33"/>
  <c r="M24" i="33"/>
  <c r="G24" i="33"/>
  <c r="E24" i="33"/>
  <c r="V23" i="33"/>
  <c r="S23" i="33"/>
  <c r="P23" i="33"/>
  <c r="M23" i="33"/>
  <c r="G23" i="33"/>
  <c r="E23" i="33"/>
  <c r="G22" i="33"/>
  <c r="E22" i="33"/>
  <c r="C19" i="33"/>
  <c r="V18" i="33"/>
  <c r="S18" i="33"/>
  <c r="P18" i="33"/>
  <c r="M18" i="33"/>
  <c r="V17" i="33"/>
  <c r="S17" i="33"/>
  <c r="P17" i="33"/>
  <c r="M17" i="33"/>
  <c r="V16" i="33"/>
  <c r="S16" i="33"/>
  <c r="P16" i="33"/>
  <c r="M16" i="33"/>
  <c r="I16" i="33"/>
  <c r="V15" i="33"/>
  <c r="S15" i="33"/>
  <c r="P15" i="33"/>
  <c r="M15" i="33"/>
  <c r="I15" i="33"/>
  <c r="H15" i="33"/>
  <c r="G15" i="33"/>
  <c r="F15" i="33"/>
  <c r="E15" i="33"/>
  <c r="D15" i="33"/>
  <c r="C15" i="33"/>
  <c r="V14" i="33"/>
  <c r="S14" i="33"/>
  <c r="P14" i="33"/>
  <c r="M14" i="33"/>
  <c r="I12" i="33"/>
  <c r="I11" i="33"/>
  <c r="I10" i="33"/>
  <c r="V9" i="33"/>
  <c r="S9" i="33"/>
  <c r="P9" i="33"/>
  <c r="M9" i="33"/>
  <c r="I9" i="33"/>
  <c r="V8" i="33"/>
  <c r="S8" i="33"/>
  <c r="P8" i="33"/>
  <c r="M8" i="33"/>
  <c r="I8" i="33"/>
  <c r="V7" i="33"/>
  <c r="S7" i="33"/>
  <c r="P7" i="33"/>
  <c r="M7" i="33"/>
  <c r="I7" i="33"/>
  <c r="V6" i="33"/>
  <c r="S6" i="33"/>
  <c r="P6" i="33"/>
  <c r="I6" i="33"/>
  <c r="V5" i="33"/>
  <c r="S5" i="33"/>
  <c r="P5" i="33"/>
  <c r="M5" i="33"/>
  <c r="I5" i="33"/>
  <c r="I4" i="33"/>
  <c r="V3" i="33"/>
  <c r="S3" i="33"/>
  <c r="P3" i="33"/>
  <c r="M3" i="33"/>
  <c r="I3" i="33"/>
  <c r="Y22" i="31"/>
  <c r="Y18" i="31"/>
  <c r="X18" i="31"/>
  <c r="W18" i="31"/>
  <c r="V18" i="31"/>
  <c r="U18" i="31"/>
  <c r="T18" i="31"/>
  <c r="S18" i="31"/>
  <c r="R18" i="31"/>
  <c r="Q18" i="31"/>
  <c r="P18" i="31"/>
  <c r="O18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Y16" i="31"/>
  <c r="X16" i="31"/>
  <c r="W16" i="31"/>
  <c r="V16" i="31"/>
  <c r="U16" i="31"/>
  <c r="T16" i="31"/>
  <c r="S16" i="31"/>
  <c r="R16" i="31"/>
  <c r="Q16" i="31"/>
  <c r="P16" i="31"/>
  <c r="O16" i="31"/>
  <c r="Y15" i="31"/>
  <c r="X15" i="31"/>
  <c r="W15" i="31"/>
  <c r="V15" i="31"/>
  <c r="U15" i="31"/>
  <c r="T15" i="31"/>
  <c r="S15" i="31"/>
  <c r="R15" i="31"/>
  <c r="Q15" i="31"/>
  <c r="P15" i="31"/>
  <c r="O15" i="31"/>
  <c r="Y14" i="31"/>
  <c r="X14" i="31"/>
  <c r="W14" i="31"/>
  <c r="V14" i="31"/>
  <c r="U14" i="31"/>
  <c r="T14" i="31"/>
  <c r="S14" i="31"/>
  <c r="R14" i="31"/>
  <c r="Q14" i="31"/>
  <c r="P14" i="31"/>
  <c r="O14" i="31"/>
  <c r="Y13" i="31"/>
  <c r="X13" i="31"/>
  <c r="W13" i="31"/>
  <c r="V13" i="31"/>
  <c r="U13" i="31"/>
  <c r="T13" i="31"/>
  <c r="S13" i="31"/>
  <c r="R13" i="31"/>
  <c r="Q13" i="31"/>
  <c r="P13" i="31"/>
  <c r="O13" i="31"/>
  <c r="Y12" i="31"/>
  <c r="X12" i="31"/>
  <c r="V12" i="31"/>
  <c r="U12" i="31"/>
  <c r="T12" i="31"/>
  <c r="S12" i="31"/>
  <c r="R12" i="31"/>
  <c r="Q12" i="31"/>
  <c r="P12" i="31"/>
  <c r="O12" i="31"/>
  <c r="Y11" i="31"/>
  <c r="X11" i="31"/>
  <c r="W11" i="31"/>
  <c r="V11" i="31"/>
  <c r="U11" i="31"/>
  <c r="T11" i="31"/>
  <c r="S11" i="31"/>
  <c r="R11" i="31"/>
  <c r="Q11" i="31"/>
  <c r="P11" i="31"/>
  <c r="O11" i="31"/>
  <c r="Y10" i="31"/>
  <c r="X10" i="31"/>
  <c r="W10" i="31"/>
  <c r="V10" i="31"/>
  <c r="U10" i="31"/>
  <c r="T10" i="31"/>
  <c r="S10" i="31"/>
  <c r="R10" i="31"/>
  <c r="Q10" i="31"/>
  <c r="P10" i="31"/>
  <c r="O10" i="31"/>
  <c r="Y9" i="31"/>
  <c r="X9" i="31"/>
  <c r="W9" i="31"/>
  <c r="V9" i="31"/>
  <c r="U9" i="31"/>
  <c r="T9" i="31"/>
  <c r="S9" i="31"/>
  <c r="R9" i="31"/>
  <c r="Q9" i="31"/>
  <c r="P9" i="31"/>
  <c r="O9" i="31"/>
  <c r="Z8" i="31"/>
  <c r="Y8" i="31"/>
  <c r="X8" i="31"/>
  <c r="W8" i="31"/>
  <c r="V8" i="31"/>
  <c r="U8" i="31"/>
  <c r="T8" i="31"/>
  <c r="S8" i="31"/>
  <c r="R8" i="31"/>
  <c r="Q8" i="31"/>
  <c r="P8" i="31"/>
  <c r="O8" i="31"/>
  <c r="Y7" i="31"/>
  <c r="X7" i="31"/>
  <c r="W7" i="31"/>
  <c r="V7" i="31"/>
  <c r="U7" i="31"/>
  <c r="T7" i="31"/>
  <c r="S7" i="31"/>
  <c r="R7" i="31"/>
  <c r="Q7" i="31"/>
  <c r="P7" i="31"/>
  <c r="O7" i="31"/>
  <c r="Y6" i="31"/>
  <c r="X6" i="31"/>
  <c r="W6" i="31"/>
  <c r="V6" i="31"/>
  <c r="U6" i="31"/>
  <c r="T6" i="31"/>
  <c r="S6" i="31"/>
  <c r="R6" i="31"/>
  <c r="Q6" i="31"/>
  <c r="P6" i="31"/>
  <c r="O6" i="31"/>
  <c r="Y5" i="31"/>
  <c r="X5" i="31"/>
  <c r="W5" i="31"/>
  <c r="V5" i="31"/>
  <c r="U5" i="31"/>
  <c r="T5" i="31"/>
  <c r="S5" i="31"/>
  <c r="R5" i="31"/>
  <c r="Q5" i="31"/>
  <c r="P5" i="31"/>
  <c r="O5" i="31"/>
  <c r="N2" i="31"/>
  <c r="M2" i="31"/>
  <c r="L2" i="31"/>
  <c r="K2" i="31"/>
  <c r="J2" i="31"/>
  <c r="I2" i="31"/>
  <c r="H2" i="31"/>
  <c r="G2" i="31"/>
  <c r="F2" i="31"/>
  <c r="E2" i="31"/>
  <c r="C58" i="34"/>
  <c r="C57" i="34"/>
  <c r="D56" i="34"/>
  <c r="C56" i="34"/>
  <c r="E54" i="34"/>
  <c r="C54" i="34"/>
  <c r="E53" i="34"/>
  <c r="C53" i="34"/>
  <c r="G52" i="34"/>
  <c r="C52" i="34"/>
  <c r="C51" i="34"/>
  <c r="D48" i="34"/>
  <c r="D47" i="34"/>
  <c r="D46" i="34"/>
  <c r="C38" i="34"/>
  <c r="C37" i="34"/>
  <c r="E36" i="34"/>
  <c r="D36" i="34"/>
  <c r="C36" i="34"/>
  <c r="F34" i="34"/>
  <c r="C34" i="34"/>
  <c r="F33" i="34"/>
  <c r="D33" i="34"/>
  <c r="C33" i="34"/>
  <c r="H32" i="34"/>
  <c r="D32" i="34"/>
  <c r="C32" i="34"/>
  <c r="D31" i="34"/>
  <c r="C31" i="34"/>
  <c r="L29" i="34"/>
  <c r="E28" i="34"/>
  <c r="E27" i="34"/>
  <c r="E26" i="34"/>
  <c r="AE19" i="34"/>
  <c r="Z19" i="34"/>
  <c r="AE18" i="34"/>
  <c r="Z18" i="34"/>
  <c r="C18" i="34"/>
  <c r="C17" i="34"/>
  <c r="U16" i="34"/>
  <c r="C16" i="34"/>
  <c r="AG14" i="34"/>
  <c r="AE14" i="34"/>
  <c r="Z14" i="34"/>
  <c r="U14" i="34"/>
  <c r="F14" i="34"/>
  <c r="C14" i="34"/>
  <c r="AG13" i="34"/>
  <c r="AE13" i="34"/>
  <c r="Z13" i="34"/>
  <c r="X13" i="34"/>
  <c r="W13" i="34"/>
  <c r="V13" i="34"/>
  <c r="U13" i="34"/>
  <c r="F13" i="34"/>
  <c r="E13" i="34"/>
  <c r="D13" i="34"/>
  <c r="C13" i="34"/>
  <c r="AG12" i="34"/>
  <c r="AE12" i="34"/>
  <c r="Z12" i="34"/>
  <c r="W12" i="34"/>
  <c r="V12" i="34"/>
  <c r="U12" i="34"/>
  <c r="O12" i="34"/>
  <c r="E12" i="34"/>
  <c r="D12" i="34"/>
  <c r="C12" i="34"/>
  <c r="AE11" i="34"/>
  <c r="Z11" i="34"/>
  <c r="W11" i="34"/>
  <c r="V11" i="34"/>
  <c r="U11" i="34"/>
  <c r="O11" i="34"/>
  <c r="E11" i="34"/>
  <c r="D11" i="34"/>
  <c r="C11" i="34"/>
  <c r="O10" i="34"/>
  <c r="Z9" i="34"/>
  <c r="O9" i="34"/>
  <c r="Z8" i="34"/>
  <c r="O8" i="34"/>
  <c r="AE7" i="34"/>
  <c r="O7" i="34"/>
  <c r="AE6" i="34"/>
  <c r="O6" i="34"/>
  <c r="O5" i="34"/>
  <c r="O4" i="34"/>
  <c r="AG3" i="34"/>
  <c r="AF3" i="34"/>
  <c r="O3" i="34"/>
  <c r="C36" i="29"/>
  <c r="C34" i="29"/>
  <c r="M31" i="29"/>
  <c r="M30" i="29"/>
  <c r="M29" i="29"/>
  <c r="M28" i="29"/>
  <c r="E28" i="29"/>
  <c r="M27" i="29"/>
  <c r="H27" i="29"/>
  <c r="G27" i="29"/>
  <c r="E27" i="29"/>
  <c r="M26" i="29"/>
  <c r="G26" i="29"/>
  <c r="E26" i="29"/>
  <c r="G25" i="29"/>
  <c r="E25" i="29"/>
  <c r="G24" i="29"/>
  <c r="E24" i="29"/>
  <c r="G23" i="29"/>
  <c r="E23" i="29"/>
  <c r="G22" i="29"/>
  <c r="E22" i="29"/>
  <c r="G21" i="29"/>
  <c r="E21" i="29"/>
  <c r="M20" i="29"/>
  <c r="G20" i="29"/>
  <c r="E20" i="29"/>
  <c r="M19" i="29"/>
  <c r="M18" i="29"/>
  <c r="M17" i="29"/>
  <c r="C17" i="29"/>
  <c r="P16" i="29"/>
  <c r="M16" i="29"/>
  <c r="M15" i="29"/>
  <c r="P14" i="29"/>
  <c r="P12" i="29"/>
  <c r="I12" i="29"/>
  <c r="I11" i="29"/>
  <c r="M10" i="29"/>
  <c r="I10" i="29"/>
  <c r="M9" i="29"/>
  <c r="I9" i="29"/>
  <c r="M8" i="29"/>
  <c r="I8" i="29"/>
  <c r="M7" i="29"/>
  <c r="I7" i="29"/>
  <c r="M6" i="29"/>
  <c r="I6" i="29"/>
  <c r="M5" i="29"/>
  <c r="I5" i="29"/>
  <c r="I4" i="29"/>
  <c r="M3" i="29"/>
  <c r="I3" i="29"/>
  <c r="G23" i="30"/>
  <c r="E23" i="30"/>
  <c r="G22" i="30"/>
  <c r="E22" i="30"/>
  <c r="G21" i="30"/>
  <c r="E21" i="30"/>
  <c r="G20" i="30"/>
  <c r="E20" i="30"/>
  <c r="G19" i="30"/>
  <c r="E19" i="30"/>
  <c r="G18" i="30"/>
  <c r="E18" i="30"/>
  <c r="G17" i="30"/>
  <c r="E17" i="30"/>
  <c r="M14" i="30"/>
  <c r="L14" i="30"/>
  <c r="I13" i="30"/>
  <c r="I12" i="30"/>
  <c r="H12" i="30"/>
  <c r="G12" i="30"/>
  <c r="F12" i="30"/>
  <c r="E12" i="30"/>
  <c r="D12" i="30"/>
  <c r="C12" i="30"/>
  <c r="I11" i="30"/>
  <c r="I10" i="30"/>
  <c r="I9" i="30"/>
  <c r="I8" i="30"/>
  <c r="I6" i="30"/>
  <c r="I5" i="30"/>
  <c r="I4" i="30"/>
  <c r="I3" i="30"/>
  <c r="Y20" i="31" l="1"/>
  <c r="Z21" i="31" s="1"/>
  <c r="Y19" i="31"/>
  <c r="Y3" i="31" s="1"/>
  <c r="L17" i="30" l="1"/>
  <c r="G13" i="29"/>
  <c r="D10" i="10"/>
  <c r="N13" i="34"/>
  <c r="D13" i="29"/>
  <c r="O14" i="34"/>
  <c r="O13" i="34"/>
  <c r="I13" i="34"/>
  <c r="E10" i="10"/>
  <c r="M17" i="30"/>
  <c r="H10" i="10"/>
  <c r="K13" i="34"/>
  <c r="M13" i="34"/>
  <c r="L13" i="34"/>
  <c r="H13" i="29"/>
  <c r="F92" i="11"/>
  <c r="F13" i="29"/>
  <c r="C10" i="10"/>
  <c r="C13" i="29"/>
  <c r="I13" i="29"/>
  <c r="I14" i="29"/>
  <c r="J13" i="34"/>
  <c r="E13" i="29"/>
  <c r="G10" i="10"/>
  <c r="F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Muliterno</author>
  </authors>
  <commentList>
    <comment ref="AB19" authorId="0" shapeId="0" xr:uid="{D109AE8C-7601-4600-8241-E85E89BF4521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30.960€ de prèstec</t>
        </r>
      </text>
    </comment>
    <comment ref="AB20" authorId="0" shapeId="0" xr:uid="{60316894-D89A-4F09-93B2-B6A16A7A74B6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14.200€ per pagar de renting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Muliterno</author>
  </authors>
  <commentList>
    <comment ref="G24" authorId="0" shapeId="0" xr:uid="{E6267470-2FEE-46E0-8D27-4FA14EA7D0F1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Efectivo 750€ cada uno</t>
        </r>
      </text>
    </comment>
    <comment ref="E25" authorId="0" shapeId="0" xr:uid="{781D79E2-E08A-4300-BD24-3DCDC079F070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Efectivo 750€ cada uno</t>
        </r>
      </text>
    </comment>
    <comment ref="G30" authorId="0" shapeId="0" xr:uid="{A49251AA-C891-4B1E-96AF-EF5AA3C791F1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Amazon mobiliario interior</t>
        </r>
      </text>
    </comment>
    <comment ref="F33" authorId="0" shapeId="0" xr:uid="{DFE5DBDF-E818-4664-9ABF-6D158F83B019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Fianza</t>
        </r>
      </text>
    </comment>
    <comment ref="AC45" authorId="0" shapeId="0" xr:uid="{0268E02F-6BBF-4B6F-9BC3-138808652F86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30.960€ de prèstec</t>
        </r>
      </text>
    </comment>
    <comment ref="AC46" authorId="0" shapeId="0" xr:uid="{39E57AEF-E29F-47E3-9B48-C3D721CCBD72}">
      <text>
        <r>
          <rPr>
            <b/>
            <sz val="9"/>
            <color indexed="81"/>
            <rFont val="Tahoma"/>
            <family val="2"/>
          </rPr>
          <t>Victor Muliterno:</t>
        </r>
        <r>
          <rPr>
            <sz val="9"/>
            <color indexed="81"/>
            <rFont val="Tahoma"/>
            <family val="2"/>
          </rPr>
          <t xml:space="preserve">
Ens queden 14.200€ per pagar de renting</t>
        </r>
      </text>
    </comment>
  </commentList>
</comments>
</file>

<file path=xl/sharedStrings.xml><?xml version="1.0" encoding="utf-8"?>
<sst xmlns="http://schemas.openxmlformats.org/spreadsheetml/2006/main" count="1554" uniqueCount="525">
  <si>
    <t>8 classes</t>
  </si>
  <si>
    <t>10 classes</t>
  </si>
  <si>
    <t>12 classes</t>
  </si>
  <si>
    <t>4 classes</t>
  </si>
  <si>
    <t>17:00 - 18:00</t>
  </si>
  <si>
    <t>18:00 - 19:00</t>
  </si>
  <si>
    <t>19:00 - 20:00</t>
  </si>
  <si>
    <t>20:00 - 21:00</t>
  </si>
  <si>
    <t>Dilluns</t>
  </si>
  <si>
    <t>Dimarts</t>
  </si>
  <si>
    <t>Dimecres</t>
  </si>
  <si>
    <t>Dijous</t>
  </si>
  <si>
    <t>Divendres</t>
  </si>
  <si>
    <t>Places per setmana</t>
  </si>
  <si>
    <t>Places per mes</t>
  </si>
  <si>
    <t>Inscrits</t>
  </si>
  <si>
    <t>Classes</t>
  </si>
  <si>
    <t>Places</t>
  </si>
  <si>
    <t>Preu</t>
  </si>
  <si>
    <t>Wifi</t>
  </si>
  <si>
    <t>Facturació</t>
  </si>
  <si>
    <t>16:00 - 17:00</t>
  </si>
  <si>
    <t>14:00 - 15:00</t>
  </si>
  <si>
    <t>PLACES</t>
  </si>
  <si>
    <t>10:00-11:00</t>
  </si>
  <si>
    <t>11:00-12:00</t>
  </si>
  <si>
    <t>12:00-13:00</t>
  </si>
  <si>
    <t>7:30-8:30</t>
  </si>
  <si>
    <t>8:30-9:30</t>
  </si>
  <si>
    <t>13:00-14:00</t>
  </si>
  <si>
    <t>Sueldo instructor</t>
  </si>
  <si>
    <t>Dissabte</t>
  </si>
  <si>
    <t>Alquiler</t>
  </si>
  <si>
    <t>Luz</t>
  </si>
  <si>
    <t>Agua</t>
  </si>
  <si>
    <t>Renting máquinas</t>
  </si>
  <si>
    <t>Aplicación de reservas</t>
  </si>
  <si>
    <t>Ingresos</t>
  </si>
  <si>
    <t>Gastos deducibles</t>
  </si>
  <si>
    <t>Ingresos-Gastos</t>
  </si>
  <si>
    <t>Impuesto sociedades (25%)</t>
  </si>
  <si>
    <t>Resultado mensual</t>
  </si>
  <si>
    <t>Números mensuales</t>
  </si>
  <si>
    <t>Números Anuales</t>
  </si>
  <si>
    <t>0 – 6.000 € → 19%</t>
  </si>
  <si>
    <t>6.000 – 50.000 € → 21%</t>
  </si>
  <si>
    <t>50.000 – 200.000 € → 23%</t>
  </si>
  <si>
    <t>Más de 200.000 € → 27%</t>
  </si>
  <si>
    <t>Dividendos Anuales</t>
  </si>
  <si>
    <t>Resultado anual</t>
  </si>
  <si>
    <t>IRPF Dividendos</t>
  </si>
  <si>
    <t>Carles</t>
  </si>
  <si>
    <t>Olga</t>
  </si>
  <si>
    <t>Cèlia</t>
  </si>
  <si>
    <t>Víctor</t>
  </si>
  <si>
    <t>Seguro Responsabilidad Civil</t>
  </si>
  <si>
    <t>Seguro Accidentes Alumnos</t>
  </si>
  <si>
    <t>Seguro Contenido Local</t>
  </si>
  <si>
    <t>Gestoría</t>
  </si>
  <si>
    <t xml:space="preserve"> (uno de baja)</t>
  </si>
  <si>
    <t>Gastos 1 instructor</t>
  </si>
  <si>
    <t>Gastos 2 instructores</t>
  </si>
  <si>
    <t>Gastos 3 instructores</t>
  </si>
  <si>
    <t>PRECIO CLASES</t>
  </si>
  <si>
    <t>CAPACIDAD LOCAL</t>
  </si>
  <si>
    <t>Tenemos 5 máquinas</t>
  </si>
  <si>
    <t>Podemos abrir de lunes a sábado</t>
  </si>
  <si>
    <t>No deberíamos superar el 85% de capacidad con los inscritos que pagan mensualmente</t>
  </si>
  <si>
    <t>GASTOS</t>
  </si>
  <si>
    <t>TRAMOS DIVIDENDOS</t>
  </si>
  <si>
    <t>Esto es para ver como tributan los dividendos en caso de querer sacar el dinero de la empresa</t>
  </si>
  <si>
    <t>Capacidad total de 1.440 plazas/mes</t>
  </si>
  <si>
    <t>BREAK EVEN</t>
  </si>
  <si>
    <t>Promo inicial classe 2x1</t>
  </si>
  <si>
    <t>Classe privada personal</t>
  </si>
  <si>
    <t>*Cancelación gratuita 12h antes de clase</t>
  </si>
  <si>
    <t>Classe privada duo</t>
  </si>
  <si>
    <t>Pack 4 classes personal</t>
  </si>
  <si>
    <t>Pack 4 classes duo</t>
  </si>
  <si>
    <t>Precio mensual</t>
  </si>
  <si>
    <t>Precio x clase</t>
  </si>
  <si>
    <t>GASTOS INICIALES</t>
  </si>
  <si>
    <t xml:space="preserve">Lona </t>
  </si>
  <si>
    <t>Cartel aparador</t>
  </si>
  <si>
    <t>Carteles promocionales</t>
  </si>
  <si>
    <t>Reforma</t>
  </si>
  <si>
    <t>Material/Mkt</t>
  </si>
  <si>
    <t>Gastos 1,5 instructores</t>
  </si>
  <si>
    <t>CLUB PILATES BONANOVA</t>
  </si>
  <si>
    <t>Ilimitadas</t>
  </si>
  <si>
    <t>Suscripción</t>
  </si>
  <si>
    <t>Pack (vigencia 1 mes)</t>
  </si>
  <si>
    <t>MOV I MENT GRACIA</t>
  </si>
  <si>
    <t>VITA PILATES SANT GERVASI</t>
  </si>
  <si>
    <t>5 classes</t>
  </si>
  <si>
    <t>Pack (vigencia 2 mes)</t>
  </si>
  <si>
    <t>PILATES HUB GRACIA</t>
  </si>
  <si>
    <t>20 classes</t>
  </si>
  <si>
    <t>AMA PILATES GRACIA</t>
  </si>
  <si>
    <t>GRATIA PILATES GRACIA</t>
  </si>
  <si>
    <t>PILATES 10 GRACIA</t>
  </si>
  <si>
    <t>PILAT3S GRACIA</t>
  </si>
  <si>
    <t>*Son 16 per classe</t>
  </si>
  <si>
    <t>HORTA PILATES</t>
  </si>
  <si>
    <t>Vinilo cristalera</t>
  </si>
  <si>
    <t>Arquitecto + permisos</t>
  </si>
  <si>
    <t>Suscriptor</t>
  </si>
  <si>
    <t>Pack</t>
  </si>
  <si>
    <t>Alumnes totals</t>
  </si>
  <si>
    <t>WELCOME PACK</t>
  </si>
  <si>
    <t>50 Botellas</t>
  </si>
  <si>
    <t>VENTA EN CENTRO</t>
  </si>
  <si>
    <t>15 Botellas</t>
  </si>
  <si>
    <t>15 Toallas</t>
  </si>
  <si>
    <t>15 Calcetines</t>
  </si>
  <si>
    <t>Welcome Pack</t>
  </si>
  <si>
    <t>15 camisetas</t>
  </si>
  <si>
    <t>100 Tote Bag</t>
  </si>
  <si>
    <t>4 Camisetas staff</t>
  </si>
  <si>
    <t>20 Camisetas promocionales</t>
  </si>
  <si>
    <t>Total</t>
  </si>
  <si>
    <t>Capital social</t>
  </si>
  <si>
    <t>Mobiliario interior</t>
  </si>
  <si>
    <t>Constitución SL</t>
  </si>
  <si>
    <t>BONPILATES</t>
  </si>
  <si>
    <t>Barreformer Monitor Pro</t>
  </si>
  <si>
    <t>Precio</t>
  </si>
  <si>
    <t>Precio + IVA</t>
  </si>
  <si>
    <t>Unidades</t>
  </si>
  <si>
    <t>Precio total</t>
  </si>
  <si>
    <t>Precio + IVA Total</t>
  </si>
  <si>
    <t>Aro para profesionales</t>
  </si>
  <si>
    <t>REFERENCIA</t>
  </si>
  <si>
    <t>Pelota aerobic pilates</t>
  </si>
  <si>
    <t>Colchoneta 1,9cm (gris)</t>
  </si>
  <si>
    <t>Portacolchonetas pared</t>
  </si>
  <si>
    <t>DECATHLON</t>
  </si>
  <si>
    <t>Mancuernas 0,5kg</t>
  </si>
  <si>
    <t>Mancuernas 1kg</t>
  </si>
  <si>
    <t>Mancuernas 2kg</t>
  </si>
  <si>
    <t>Tobilleras 1kg</t>
  </si>
  <si>
    <t>Tobilleras 2kg</t>
  </si>
  <si>
    <t>Pelota antideslizante 75cm</t>
  </si>
  <si>
    <t>Maquinas + material pilates</t>
  </si>
  <si>
    <t>TOTAL INGRESOS MENSUALES</t>
  </si>
  <si>
    <t>TOTAL GASTOS MENSUALES</t>
  </si>
  <si>
    <t>INGRESOS</t>
  </si>
  <si>
    <t>SUSCRIPTORES 4 CLASES</t>
  </si>
  <si>
    <t>SUSCRIPTORES 8 CLASES</t>
  </si>
  <si>
    <t>DIFERENCIA INGRESOS - GASTOS</t>
  </si>
  <si>
    <t>ALQUILER LOCAL</t>
  </si>
  <si>
    <t>SUELDO YURUANI YEKUANA</t>
  </si>
  <si>
    <t>SUMINISTROS (LUZ)</t>
  </si>
  <si>
    <t>SUMINISTROS (AGUA)</t>
  </si>
  <si>
    <t>WIFI</t>
  </si>
  <si>
    <t>SEGURO RESPONSABILIDAD CIVIL</t>
  </si>
  <si>
    <t>SEGURO ACCIDENTES ALUMNOS</t>
  </si>
  <si>
    <t>SEGURO CONTENIDO DEL LOCAL</t>
  </si>
  <si>
    <t>GESTORÍA</t>
  </si>
  <si>
    <t>MERCHANDISING</t>
  </si>
  <si>
    <t>VENTA DE MATERIAL</t>
  </si>
  <si>
    <t>URBAN Y OTRAS APLICACIONES</t>
  </si>
  <si>
    <t>PERSONA DE LIMPIEZA</t>
  </si>
  <si>
    <t>MATERIAL A REPONER</t>
  </si>
  <si>
    <t>CAPITAL SOCIAL</t>
  </si>
  <si>
    <t>OBRES AMADEO</t>
  </si>
  <si>
    <t>ARQUITECTE</t>
  </si>
  <si>
    <t>MOBILIARI INTERIOR</t>
  </si>
  <si>
    <t>DESPESES EXTRES INICIALS</t>
  </si>
  <si>
    <t>SUSCRIPTORES</t>
  </si>
  <si>
    <t>PRECIOS</t>
  </si>
  <si>
    <t>URBAN Beneficio</t>
  </si>
  <si>
    <t>PRESTAMO LACAIXA GENERAL (40k al 5% - 72meses)</t>
  </si>
  <si>
    <t>PRESTAMO LACAIXA MÁQUINAS (20K al 5% - 60 meses)</t>
  </si>
  <si>
    <t>IVA REPERCUTIDO A LAS VENTAS</t>
  </si>
  <si>
    <t>SUELDO SEGUNDA INSTRUCTORA</t>
  </si>
  <si>
    <t>PACK BENVINGUDA</t>
  </si>
  <si>
    <t>PACK 4 CLASES</t>
  </si>
  <si>
    <t>PACK 8 CLASES</t>
  </si>
  <si>
    <t>*Classe extra socis</t>
  </si>
  <si>
    <t>SUSCRIPTORES 12 CLASES</t>
  </si>
  <si>
    <t>APORTACIÓ EXTRA SOCIS</t>
  </si>
  <si>
    <t>Misión</t>
  </si>
  <si>
    <t>Visión</t>
  </si>
  <si>
    <t>Valores</t>
  </si>
  <si>
    <r>
      <rPr>
        <b/>
        <sz val="11"/>
        <color theme="1"/>
        <rFont val="Aptos Narrow"/>
        <family val="2"/>
        <scheme val="minor"/>
      </rPr>
      <t>Cercanía</t>
    </r>
    <r>
      <rPr>
        <sz val="11"/>
        <color theme="1"/>
        <rFont val="Aptos Narrow"/>
        <family val="2"/>
        <scheme val="minor"/>
      </rPr>
      <t>: Tratamos a clientes y compañeros con calidez, creando un ambiente seguro y acogedor donde todos se sientan como en casa.</t>
    </r>
  </si>
  <si>
    <r>
      <rPr>
        <b/>
        <sz val="11"/>
        <color theme="1"/>
        <rFont val="Aptos Narrow"/>
        <family val="2"/>
        <scheme val="minor"/>
      </rPr>
      <t>Profesionalidad</t>
    </r>
    <r>
      <rPr>
        <sz val="11"/>
        <color theme="1"/>
        <rFont val="Aptos Narrow"/>
        <family val="2"/>
        <scheme val="minor"/>
      </rPr>
      <t>: Nos comprometemos con una enseñanza del pilates basada en el conocimiento, la técnica y la mejora continua.</t>
    </r>
  </si>
  <si>
    <r>
      <rPr>
        <b/>
        <sz val="11"/>
        <color theme="1"/>
        <rFont val="Aptos Narrow"/>
        <family val="2"/>
        <scheme val="minor"/>
      </rPr>
      <t>Bienestar Integral</t>
    </r>
    <r>
      <rPr>
        <sz val="11"/>
        <color theme="1"/>
        <rFont val="Aptos Narrow"/>
        <family val="2"/>
        <scheme val="minor"/>
      </rPr>
      <t>: Entendemos el movimiento como un camino hacia una vida más equilibrada, plena y saludable.</t>
    </r>
  </si>
  <si>
    <r>
      <rPr>
        <b/>
        <sz val="11"/>
        <color theme="1"/>
        <rFont val="Aptos Narrow"/>
        <family val="2"/>
        <scheme val="minor"/>
      </rPr>
      <t>Respeto</t>
    </r>
    <r>
      <rPr>
        <sz val="11"/>
        <color theme="1"/>
        <rFont val="Aptos Narrow"/>
        <family val="2"/>
        <scheme val="minor"/>
      </rPr>
      <t>: Valoramos la diversidad, las necesidades individuales y los ritmos personales, fomentando relaciones basadas en la empatía y la escucha.</t>
    </r>
  </si>
  <si>
    <r>
      <rPr>
        <b/>
        <sz val="11"/>
        <color theme="1"/>
        <rFont val="Aptos Narrow"/>
        <family val="2"/>
        <scheme val="minor"/>
      </rPr>
      <t>Comunidad</t>
    </r>
    <r>
      <rPr>
        <sz val="11"/>
        <color theme="1"/>
        <rFont val="Aptos Narrow"/>
        <family val="2"/>
        <scheme val="minor"/>
      </rPr>
      <t>: Somos un punto de encuentro en Vallcarca, contribuyendo al tejido social y promoviendo un estilo de vida activo y saludable.</t>
    </r>
  </si>
  <si>
    <t>12h/dia disponibles para hacer clase</t>
  </si>
  <si>
    <t>Objetivo 2026</t>
  </si>
  <si>
    <t>Tener el centro a máxima capacidad con dos instructores</t>
  </si>
  <si>
    <t>Objetivo 2027 - 2028</t>
  </si>
  <si>
    <t>Clientes e instructores fidelizados</t>
  </si>
  <si>
    <t>Objetivo 2029 - Futuro</t>
  </si>
  <si>
    <t>¿Estudiar una ampliación de negocio en otro centro?</t>
  </si>
  <si>
    <t>Recuperar la inversión y acabar el año en positivo</t>
  </si>
  <si>
    <t>Máximizar rentabilidad (¿subida de precios?)</t>
  </si>
  <si>
    <t>Capacidad 1 Instructor (720)</t>
  </si>
  <si>
    <t>Capacidad 2 Instructores (1440)</t>
  </si>
  <si>
    <t>CAJA (CASH FLOW)</t>
  </si>
  <si>
    <t>CAPACIDAD</t>
  </si>
  <si>
    <t>Precio/Clase</t>
  </si>
  <si>
    <t>4 classes soci mes</t>
  </si>
  <si>
    <t>8 classes soci mes</t>
  </si>
  <si>
    <t>12 classes soci mes</t>
  </si>
  <si>
    <t>4 classes pack trimestral</t>
  </si>
  <si>
    <t>8 classes pack trimestral</t>
  </si>
  <si>
    <t>Pack benvinguda (2x1)</t>
  </si>
  <si>
    <t>¿QUÉ QUEREMOS SER?</t>
  </si>
  <si>
    <t>¿QUÉ QUEREMOS CONSEGUIR?</t>
  </si>
  <si>
    <t>TARIFAS ESPECIALES a definir</t>
  </si>
  <si>
    <t>*Estimado un 20% de tributación media</t>
  </si>
  <si>
    <t>Total 2026</t>
  </si>
  <si>
    <t>Total 2027</t>
  </si>
  <si>
    <t>Total 2028</t>
  </si>
  <si>
    <t>Cancelar el préstamo de CaixaBank</t>
  </si>
  <si>
    <t>Reparto de dividendos anuales - Beneficios socios</t>
  </si>
  <si>
    <t>COMISIONES STRIPE</t>
  </si>
  <si>
    <t>MOMENCE SUSCRIPCIÓN MENSUAL</t>
  </si>
  <si>
    <t>Break</t>
  </si>
  <si>
    <t>7:00 - 8:00</t>
  </si>
  <si>
    <t>8:00 - 9:00</t>
  </si>
  <si>
    <t>9:00 - 10:00</t>
  </si>
  <si>
    <t>Yuruani</t>
  </si>
  <si>
    <t>Sueldo 40h</t>
  </si>
  <si>
    <t>Sueldo 30h</t>
  </si>
  <si>
    <t>Bruto</t>
  </si>
  <si>
    <t>Coste</t>
  </si>
  <si>
    <t>Coste mensual</t>
  </si>
  <si>
    <t>Ursula</t>
  </si>
  <si>
    <t>9:00 - 9:55</t>
  </si>
  <si>
    <t>10:00 - 10:55</t>
  </si>
  <si>
    <t>11:00 - 11:55</t>
  </si>
  <si>
    <t>12:00 - 12:55</t>
  </si>
  <si>
    <t>17:00 - 17:55</t>
  </si>
  <si>
    <t>18:00 - 18:55</t>
  </si>
  <si>
    <t>19:00 - 19:55</t>
  </si>
  <si>
    <t>20:00 - 20:55</t>
  </si>
  <si>
    <t>BOLDU PLA I ASSOCIATS - GESTORÍA</t>
  </si>
  <si>
    <t>INSTRUCTORES</t>
  </si>
  <si>
    <t>PRÉSTAMOS</t>
  </si>
  <si>
    <t>INSTALACIONES</t>
  </si>
  <si>
    <t>MARKETING + MATERIAL</t>
  </si>
  <si>
    <t>LIMPIEZA</t>
  </si>
  <si>
    <t xml:space="preserve">O2 MOVIL - TELÉFONO </t>
  </si>
  <si>
    <t>ARQUITECTO</t>
  </si>
  <si>
    <t>MOBILIARIO INTERIOR</t>
  </si>
  <si>
    <t>PRESTAMO LACAIXA GENERAL (38k al 5% - 72meses)</t>
  </si>
  <si>
    <t>SUELDO ÚRSULA</t>
  </si>
  <si>
    <t>AUTÓNOMOS YURUANI YEKUANA</t>
  </si>
  <si>
    <t>AUTÓNOMOS PACO</t>
  </si>
  <si>
    <t>MÁQUINAS BONPILATES</t>
  </si>
  <si>
    <t>MOMENCE</t>
  </si>
  <si>
    <t>Abril</t>
  </si>
  <si>
    <t>Mayo</t>
  </si>
  <si>
    <t>Momence</t>
  </si>
  <si>
    <t>Teléfono O2</t>
  </si>
  <si>
    <t>Extras</t>
  </si>
  <si>
    <t>SEGURO GLOBALBROK - OCCIDENTE</t>
  </si>
  <si>
    <t>Welcome pack</t>
  </si>
  <si>
    <t>Urban</t>
  </si>
  <si>
    <t>Prestamo LACAIXA</t>
  </si>
  <si>
    <t>DESPESES FIXES</t>
  </si>
  <si>
    <t>CAPACITAT ACTUAL</t>
  </si>
  <si>
    <t>CONCLUSIÓ</t>
  </si>
  <si>
    <t>Augmentem hores conforme anem omplint classes</t>
  </si>
  <si>
    <t>Amb les hores actuals amb 75 inscrits estariem al 60,9% de la capacitat (anem sobrats)</t>
  </si>
  <si>
    <t>(Sin IVA)</t>
  </si>
  <si>
    <t>Hem d'aconseguir tenir 70 inscrits aprox per no tenir perdues</t>
  </si>
  <si>
    <r>
      <t xml:space="preserve">En AURA PILATES acompañamos a cada persona en la mejora de su bienestar físico y emocional a través de un pilates de </t>
    </r>
    <r>
      <rPr>
        <b/>
        <sz val="11"/>
        <color theme="1"/>
        <rFont val="Aptos Narrow"/>
        <family val="2"/>
        <scheme val="minor"/>
      </rPr>
      <t>calidad, consciente y personalizado</t>
    </r>
    <r>
      <rPr>
        <sz val="11"/>
        <color theme="1"/>
        <rFont val="Aptos Narrow"/>
        <family val="2"/>
        <scheme val="minor"/>
      </rPr>
      <t xml:space="preserve">. Nos esforzamos por crear un </t>
    </r>
    <r>
      <rPr>
        <b/>
        <sz val="11"/>
        <color theme="1"/>
        <rFont val="Aptos Narrow"/>
        <family val="2"/>
        <scheme val="minor"/>
      </rPr>
      <t>espacio cercano y acogedor</t>
    </r>
    <r>
      <rPr>
        <sz val="11"/>
        <color theme="1"/>
        <rFont val="Aptos Narrow"/>
        <family val="2"/>
        <scheme val="minor"/>
      </rPr>
      <t xml:space="preserve"> donde los clientes se sientan </t>
    </r>
    <r>
      <rPr>
        <b/>
        <sz val="11"/>
        <color theme="1"/>
        <rFont val="Aptos Narrow"/>
        <family val="2"/>
        <scheme val="minor"/>
      </rPr>
      <t>cuidados y valorados</t>
    </r>
    <r>
      <rPr>
        <sz val="11"/>
        <color theme="1"/>
        <rFont val="Aptos Narrow"/>
        <family val="2"/>
        <scheme val="minor"/>
      </rPr>
      <t>, promoviendo hábitos saludables que se integren en su vida diaria.</t>
    </r>
  </si>
  <si>
    <r>
      <t xml:space="preserve">Convertirnos en el centro de pilates de </t>
    </r>
    <r>
      <rPr>
        <b/>
        <sz val="11"/>
        <color theme="1"/>
        <rFont val="Aptos Narrow"/>
        <family val="2"/>
        <scheme val="minor"/>
      </rPr>
      <t>referencia del distrito</t>
    </r>
    <r>
      <rPr>
        <sz val="11"/>
        <color theme="1"/>
        <rFont val="Aptos Narrow"/>
        <family val="2"/>
        <scheme val="minor"/>
      </rPr>
      <t>, reconocido por la</t>
    </r>
    <r>
      <rPr>
        <b/>
        <sz val="11"/>
        <color theme="1"/>
        <rFont val="Aptos Narrow"/>
        <family val="2"/>
        <scheme val="minor"/>
      </rPr>
      <t xml:space="preserve"> excelencia</t>
    </r>
    <r>
      <rPr>
        <sz val="11"/>
        <color theme="1"/>
        <rFont val="Aptos Narrow"/>
        <family val="2"/>
        <scheme val="minor"/>
      </rPr>
      <t xml:space="preserve"> en nuestro servicio, el </t>
    </r>
    <r>
      <rPr>
        <b/>
        <sz val="11"/>
        <color theme="1"/>
        <rFont val="Aptos Narrow"/>
        <family val="2"/>
        <scheme val="minor"/>
      </rPr>
      <t>ambiente familiar y el compromiso con el bienestar integral</t>
    </r>
    <r>
      <rPr>
        <sz val="11"/>
        <color theme="1"/>
        <rFont val="Aptos Narrow"/>
        <family val="2"/>
        <scheme val="minor"/>
      </rPr>
      <t xml:space="preserve">. Aspiramos a ser un lugar donde los clientes encuentren su equilibrio y los profesionales desarrollen su talento en un entorno </t>
    </r>
    <r>
      <rPr>
        <b/>
        <sz val="11"/>
        <color theme="1"/>
        <rFont val="Aptos Narrow"/>
        <family val="2"/>
        <scheme val="minor"/>
      </rPr>
      <t>respetuoso, motivador y sostenible</t>
    </r>
    <r>
      <rPr>
        <sz val="11"/>
        <color theme="1"/>
        <rFont val="Aptos Narrow"/>
        <family val="2"/>
        <scheme val="minor"/>
      </rPr>
      <t>.</t>
    </r>
  </si>
  <si>
    <t>Material Extra Local</t>
  </si>
  <si>
    <t>Sueldo Yuruaní</t>
  </si>
  <si>
    <t>Sueldo Úrsula</t>
  </si>
  <si>
    <t>Sueldo Zuzi</t>
  </si>
  <si>
    <t>Gestoría extra</t>
  </si>
  <si>
    <t>SUSCRIPTORES 4 CLASES FAMILIAR</t>
  </si>
  <si>
    <t>4 classes soci familiar mes</t>
  </si>
  <si>
    <t>CLASE ESPECIAL 10€</t>
  </si>
  <si>
    <t>Clase especial 10€</t>
  </si>
  <si>
    <t>Capacidad 28h actuales Instructor (640)</t>
  </si>
  <si>
    <t>ROTULADO EXTERIOR - SB Graphics</t>
  </si>
  <si>
    <t>MERCHANDISING - Aidas Publicidad</t>
  </si>
  <si>
    <t>PERMISO DE OBRAS AJUNTAMENT</t>
  </si>
  <si>
    <t>SPOTIFY</t>
  </si>
  <si>
    <t>OBRAS LOCAL AMADEO TRANSFERENCIA</t>
  </si>
  <si>
    <t>OBRAS LOCAL AMADEO EN CASH</t>
  </si>
  <si>
    <t>CLAUS LOCAL</t>
  </si>
  <si>
    <t>CARTELL LOCAL</t>
  </si>
  <si>
    <t>Pack 2x1</t>
  </si>
  <si>
    <t>Urban y otras</t>
  </si>
  <si>
    <t>Gastos fijos</t>
  </si>
  <si>
    <t>Mensual</t>
  </si>
  <si>
    <t>Coste por hora</t>
  </si>
  <si>
    <t>Coste hora extra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</si>
  <si>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</si>
  <si>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</si>
  <si>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</si>
  <si>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</si>
  <si>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</si>
  <si>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</si>
  <si>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</si>
  <si>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</si>
  <si>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</si>
  <si>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</si>
  <si>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</si>
  <si>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</si>
  <si>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</si>
  <si>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</si>
  <si>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</si>
  <si>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</si>
  <si>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</si>
  <si>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</si>
  <si>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</si>
  <si>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</si>
  <si>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</si>
  <si>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</si>
  <si>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</si>
  <si>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</si>
  <si>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</si>
  <si>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</si>
  <si>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</si>
  <si>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</si>
  <si>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</si>
  <si>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</si>
  <si>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</si>
  <si>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</si>
  <si>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</si>
  <si>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</si>
  <si>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</si>
  <si>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</si>
  <si>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</si>
  <si>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</si>
  <si>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</si>
  <si>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</si>
  <si>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</si>
  <si>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</si>
  <si>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</si>
  <si>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</si>
  <si>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</si>
  <si>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</si>
  <si>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</si>
  <si>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02/02/2026</t>
  </si>
  <si>
    <t>08/02/2026</t>
  </si>
  <si>
    <t>09/02/2026</t>
  </si>
  <si>
    <t>15/02/2026</t>
  </si>
  <si>
    <t>16/02/2026</t>
  </si>
  <si>
    <t>22/02/2026</t>
  </si>
  <si>
    <t>23/02/2026</t>
  </si>
  <si>
    <t>01/03/2026</t>
  </si>
  <si>
    <t>02/03/2026</t>
  </si>
  <si>
    <t>08/03/2026</t>
  </si>
  <si>
    <t>09/03/2026</t>
  </si>
  <si>
    <t>15/03/2026</t>
  </si>
  <si>
    <t>16/03/2026</t>
  </si>
  <si>
    <t>22/03/2026</t>
  </si>
  <si>
    <t>23/03/2026</t>
  </si>
  <si>
    <t>29/03/2026</t>
  </si>
  <si>
    <t>30/03/2026</t>
  </si>
  <si>
    <t>05/04/2026</t>
  </si>
  <si>
    <t>06/04/2026</t>
  </si>
  <si>
    <t>12/04/2026</t>
  </si>
  <si>
    <t>13/04/2026</t>
  </si>
  <si>
    <t>19/04/2026</t>
  </si>
  <si>
    <t>20/04/2026</t>
  </si>
  <si>
    <t>26/04/2026</t>
  </si>
  <si>
    <t>27/04/2026</t>
  </si>
  <si>
    <t>03/05/2026</t>
  </si>
  <si>
    <t>04/05/2026</t>
  </si>
  <si>
    <t>10/05/2026</t>
  </si>
  <si>
    <t>11/05/2026</t>
  </si>
  <si>
    <t>17/05/2026</t>
  </si>
  <si>
    <t>18/05/2026</t>
  </si>
  <si>
    <t>24/05/2026</t>
  </si>
  <si>
    <t>25/05/2026</t>
  </si>
  <si>
    <t>31/05/2026</t>
  </si>
  <si>
    <t>01/06/2026</t>
  </si>
  <si>
    <t>07/06/2026</t>
  </si>
  <si>
    <t>08/06/2026</t>
  </si>
  <si>
    <t>14/06/2026</t>
  </si>
  <si>
    <t>15/06/2026</t>
  </si>
  <si>
    <t>21/06/2026</t>
  </si>
  <si>
    <t>22/06/2026</t>
  </si>
  <si>
    <t>28/06/2026</t>
  </si>
  <si>
    <t>29/06/2026</t>
  </si>
  <si>
    <t>05/07/2026</t>
  </si>
  <si>
    <t>06/07/2026</t>
  </si>
  <si>
    <t>12/07/2026</t>
  </si>
  <si>
    <t>13/07/2026</t>
  </si>
  <si>
    <t>19/07/2026</t>
  </si>
  <si>
    <t>20/07/2026</t>
  </si>
  <si>
    <t>26/07/2026</t>
  </si>
  <si>
    <t>27/07/2026</t>
  </si>
  <si>
    <t>02/08/2026</t>
  </si>
  <si>
    <t>03/08/2026</t>
  </si>
  <si>
    <t>09/08/2026</t>
  </si>
  <si>
    <t>10/08/2026</t>
  </si>
  <si>
    <t>16/08/2026</t>
  </si>
  <si>
    <t>17/08/2026</t>
  </si>
  <si>
    <t>23/08/2026</t>
  </si>
  <si>
    <t>24/08/2026</t>
  </si>
  <si>
    <t>30/08/2026</t>
  </si>
  <si>
    <t>31/08/2026</t>
  </si>
  <si>
    <t>06/09/2026</t>
  </si>
  <si>
    <t>07/09/2026</t>
  </si>
  <si>
    <t>13/09/2026</t>
  </si>
  <si>
    <t>14/09/2026</t>
  </si>
  <si>
    <t>20/09/2026</t>
  </si>
  <si>
    <t>21/09/2026</t>
  </si>
  <si>
    <t>27/09/2026</t>
  </si>
  <si>
    <t>28/09/2026</t>
  </si>
  <si>
    <t>04/10/2026</t>
  </si>
  <si>
    <t>05/10/2026</t>
  </si>
  <si>
    <t>11/10/2026</t>
  </si>
  <si>
    <t>12/10/2026</t>
  </si>
  <si>
    <t>18/10/2026</t>
  </si>
  <si>
    <t>19/10/2026</t>
  </si>
  <si>
    <t>25/10/2026</t>
  </si>
  <si>
    <t>26/10/2026</t>
  </si>
  <si>
    <t>01/11/2026</t>
  </si>
  <si>
    <t>02/11/2026</t>
  </si>
  <si>
    <t>08/11/2026</t>
  </si>
  <si>
    <t>09/11/2026</t>
  </si>
  <si>
    <t>15/11/2026</t>
  </si>
  <si>
    <t>16/11/2026</t>
  </si>
  <si>
    <t>22/11/2026</t>
  </si>
  <si>
    <t>23/11/2026</t>
  </si>
  <si>
    <t>29/11/2026</t>
  </si>
  <si>
    <t>30/11/2026</t>
  </si>
  <si>
    <t>06/12/2026</t>
  </si>
  <si>
    <t>07/12/2026</t>
  </si>
  <si>
    <t>13/12/2026</t>
  </si>
  <si>
    <t>14/12/2026</t>
  </si>
  <si>
    <t>20/12/2026</t>
  </si>
  <si>
    <t>21/12/2026</t>
  </si>
  <si>
    <t>27/12/2026</t>
  </si>
  <si>
    <t>28/12/2026</t>
  </si>
  <si>
    <t>03/01/2027</t>
  </si>
  <si>
    <t>SEMANA</t>
  </si>
  <si>
    <t>Dia inicio</t>
  </si>
  <si>
    <t>Dia fin</t>
  </si>
  <si>
    <t>Basic</t>
  </si>
  <si>
    <t>Plus</t>
  </si>
  <si>
    <t>Wel. pack</t>
  </si>
  <si>
    <t>Basic Fam</t>
  </si>
  <si>
    <t>INSCRIPCIONES</t>
  </si>
  <si>
    <t>Individual</t>
  </si>
  <si>
    <t>Queremos abrir lunes tarde de 18h a 21h (yuruaní)</t>
  </si>
  <si>
    <t>Cambiamos las mañanas de las 12h a las 8h (yuruaní)</t>
  </si>
  <si>
    <t>Insistir con apretar más a la gente que domina</t>
  </si>
  <si>
    <t>Pasar a estar fija</t>
  </si>
  <si>
    <t>Sueldo 13€/h</t>
  </si>
  <si>
    <t>8:00 - 8:55</t>
  </si>
  <si>
    <t>Neto</t>
  </si>
  <si>
    <t>Coste empresa</t>
  </si>
  <si>
    <t>Yuruani 16h</t>
  </si>
  <si>
    <t>Por hora</t>
  </si>
  <si>
    <t>Zuzi 8h</t>
  </si>
  <si>
    <t>Ursula 8h</t>
  </si>
  <si>
    <t>8h semana</t>
  </si>
  <si>
    <t>16h semana</t>
  </si>
  <si>
    <t>32 hores</t>
  </si>
  <si>
    <t>Sou actual</t>
  </si>
  <si>
    <t>Sueldo actual</t>
  </si>
  <si>
    <t>Suscritos totales</t>
  </si>
  <si>
    <t>Limpieza</t>
  </si>
  <si>
    <t>Restamos IVA y Stripe</t>
  </si>
  <si>
    <t>Yuruaní contrato</t>
  </si>
  <si>
    <t>Ursula contrato</t>
  </si>
  <si>
    <t>Zuzi contrato</t>
  </si>
  <si>
    <t>Spotify</t>
  </si>
  <si>
    <t>Boldú Pla Gestoría</t>
  </si>
  <si>
    <t>Yuruaní en cash (B)</t>
  </si>
  <si>
    <t>Zuzi en cash (B)</t>
  </si>
  <si>
    <t>Suscriptor BASIC</t>
  </si>
  <si>
    <t>Suscriptor PLUS</t>
  </si>
  <si>
    <t xml:space="preserve">Urban </t>
  </si>
  <si>
    <t>IVA</t>
  </si>
  <si>
    <t xml:space="preserve">Captación </t>
  </si>
  <si>
    <t xml:space="preserve">Resultado </t>
  </si>
  <si>
    <t>Gastos</t>
  </si>
  <si>
    <t>Resultado final</t>
  </si>
  <si>
    <t>Suscriptor FAMILIAR BASIC</t>
  </si>
  <si>
    <t>Cash</t>
  </si>
  <si>
    <t>15% IRPF</t>
  </si>
  <si>
    <t>6% CONTINGENCIAS</t>
  </si>
  <si>
    <t>hora brut</t>
  </si>
  <si>
    <t>brut mensual</t>
  </si>
  <si>
    <t>cost empresa mensual</t>
  </si>
  <si>
    <t>AVUI</t>
  </si>
  <si>
    <t>PROPOSTA CECILIA</t>
  </si>
  <si>
    <t>AUTONOMA</t>
  </si>
  <si>
    <t>CONTRACTADA</t>
  </si>
  <si>
    <t>Net 0% IRPF</t>
  </si>
  <si>
    <t>Net 6% IRPF</t>
  </si>
  <si>
    <t>Net 15% IRPF</t>
  </si>
  <si>
    <t>Sou brut</t>
  </si>
  <si>
    <t>Retenció SS</t>
  </si>
  <si>
    <t>CECILIA</t>
  </si>
  <si>
    <t>25€/h</t>
  </si>
  <si>
    <t>16h</t>
  </si>
  <si>
    <t>18,5€/h brut</t>
  </si>
  <si>
    <t>Plus Fam</t>
  </si>
  <si>
    <t>Pro</t>
  </si>
  <si>
    <t>Suscriptor BASIC FAM</t>
  </si>
  <si>
    <t>Suscriptor PLUS FAM</t>
  </si>
  <si>
    <t>Suscriptor Pro</t>
  </si>
  <si>
    <t>Retenciones</t>
  </si>
  <si>
    <t>Contingencias comunes</t>
  </si>
  <si>
    <t>Cotización MEI</t>
  </si>
  <si>
    <t>Cotización Formación</t>
  </si>
  <si>
    <t>Cotización desempleo</t>
  </si>
  <si>
    <t>IRPF</t>
  </si>
  <si>
    <t>Total retención</t>
  </si>
  <si>
    <t>Gisele 8h</t>
  </si>
  <si>
    <t>Brut per 30h</t>
  </si>
  <si>
    <t>MAYO</t>
  </si>
  <si>
    <t>Neto final</t>
  </si>
  <si>
    <t>JUNIO</t>
  </si>
  <si>
    <t>Gisele 16h</t>
  </si>
  <si>
    <t>Pack 8</t>
  </si>
  <si>
    <t>Pack 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</si>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</sst>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%"/>
    <numFmt numFmtId="165" formatCode="#,##0.0\ &quot;€&quot;;[Red]\-#,##0.0\ &quot;€&quot;"/>
    <numFmt numFmtId="166" formatCode="_-* #,##0\ &quot;€&quot;_-;\-* #,##0\ &quot;€&quot;_-;_-* &quot;-&quot;??\ &quot;€&quot;_-;_-@_-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indexed="22"/>
      <name val="Aptos Narrow"/>
      <family val="2"/>
      <scheme val="minor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</cellStyleXfs>
  <cellXfs count="18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6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6" fontId="0" fillId="2" borderId="6" xfId="0" applyNumberFormat="1" applyFill="1" applyBorder="1" applyAlignment="1">
      <alignment horizontal="center"/>
    </xf>
    <xf numFmtId="6" fontId="1" fillId="2" borderId="6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164" fontId="0" fillId="2" borderId="8" xfId="1" applyNumberFormat="1" applyFont="1" applyFill="1" applyBorder="1" applyAlignment="1">
      <alignment horizontal="center"/>
    </xf>
    <xf numFmtId="6" fontId="0" fillId="2" borderId="5" xfId="0" applyNumberFormat="1" applyFill="1" applyBorder="1" applyAlignment="1">
      <alignment horizontal="center"/>
    </xf>
    <xf numFmtId="6" fontId="0" fillId="2" borderId="7" xfId="0" applyNumberFormat="1" applyFill="1" applyBorder="1" applyAlignment="1">
      <alignment horizontal="center"/>
    </xf>
    <xf numFmtId="6" fontId="0" fillId="2" borderId="9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6" fontId="1" fillId="3" borderId="1" xfId="0" applyNumberFormat="1" applyFont="1" applyFill="1" applyBorder="1" applyAlignment="1">
      <alignment horizontal="center"/>
    </xf>
    <xf numFmtId="6" fontId="0" fillId="2" borderId="4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6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6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6" fontId="0" fillId="2" borderId="0" xfId="0" applyNumberFormat="1" applyFill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6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6" fontId="1" fillId="2" borderId="0" xfId="0" applyNumberFormat="1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6" fontId="0" fillId="7" borderId="0" xfId="0" applyNumberFormat="1" applyFill="1" applyAlignment="1">
      <alignment horizontal="center" vertical="center"/>
    </xf>
    <xf numFmtId="0" fontId="0" fillId="2" borderId="0" xfId="0" applyFill="1"/>
    <xf numFmtId="0" fontId="1" fillId="10" borderId="0" xfId="0" applyFont="1" applyFill="1" applyAlignment="1">
      <alignment horizontal="center" vertical="center"/>
    </xf>
    <xf numFmtId="0" fontId="9" fillId="11" borderId="0" xfId="3" applyFont="1" applyFill="1" applyAlignment="1">
      <alignment horizontal="center" vertical="center"/>
    </xf>
    <xf numFmtId="44" fontId="9" fillId="11" borderId="0" xfId="3" applyNumberFormat="1" applyFont="1" applyFill="1" applyBorder="1" applyAlignment="1">
      <alignment horizontal="center" vertical="center"/>
    </xf>
    <xf numFmtId="44" fontId="8" fillId="12" borderId="0" xfId="3" applyNumberFormat="1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6" fontId="10" fillId="2" borderId="0" xfId="3" applyNumberFormat="1" applyFont="1" applyFill="1" applyAlignment="1">
      <alignment horizontal="center" vertical="center"/>
    </xf>
    <xf numFmtId="0" fontId="10" fillId="8" borderId="0" xfId="3" applyFont="1" applyAlignment="1">
      <alignment horizontal="center" vertical="center"/>
    </xf>
    <xf numFmtId="44" fontId="10" fillId="8" borderId="0" xfId="3" applyNumberFormat="1" applyFont="1" applyBorder="1" applyAlignment="1">
      <alignment horizontal="center" vertical="center"/>
    </xf>
    <xf numFmtId="44" fontId="8" fillId="13" borderId="0" xfId="3" applyNumberFormat="1" applyFont="1" applyFill="1" applyBorder="1" applyAlignment="1">
      <alignment horizontal="center" vertical="center"/>
    </xf>
    <xf numFmtId="0" fontId="11" fillId="14" borderId="0" xfId="3" applyFont="1" applyFill="1" applyAlignment="1">
      <alignment horizontal="center" vertical="center"/>
    </xf>
    <xf numFmtId="0" fontId="7" fillId="2" borderId="0" xfId="4" applyFill="1" applyBorder="1" applyAlignment="1">
      <alignment horizontal="center" vertical="center"/>
    </xf>
    <xf numFmtId="44" fontId="7" fillId="2" borderId="0" xfId="4" applyNumberFormat="1" applyFill="1" applyBorder="1" applyAlignment="1">
      <alignment horizontal="center" vertical="center"/>
    </xf>
    <xf numFmtId="0" fontId="12" fillId="3" borderId="0" xfId="3" applyFont="1" applyFill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44" fontId="12" fillId="3" borderId="0" xfId="3" applyNumberFormat="1" applyFont="1" applyFill="1" applyBorder="1" applyAlignment="1">
      <alignment horizontal="center" vertical="center"/>
    </xf>
    <xf numFmtId="44" fontId="12" fillId="3" borderId="0" xfId="3" applyNumberFormat="1" applyFont="1" applyFill="1" applyAlignment="1">
      <alignment horizontal="center" vertical="center"/>
    </xf>
    <xf numFmtId="0" fontId="12" fillId="2" borderId="0" xfId="3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44" fontId="3" fillId="2" borderId="0" xfId="0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6" fontId="3" fillId="2" borderId="0" xfId="2" applyNumberFormat="1" applyFont="1" applyFill="1" applyBorder="1" applyAlignment="1">
      <alignment horizontal="center" vertical="center"/>
    </xf>
    <xf numFmtId="17" fontId="1" fillId="10" borderId="0" xfId="2" applyNumberFormat="1" applyFont="1" applyFill="1" applyBorder="1" applyAlignment="1">
      <alignment horizontal="center" vertical="center"/>
    </xf>
    <xf numFmtId="1" fontId="3" fillId="2" borderId="0" xfId="2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6" fontId="12" fillId="3" borderId="0" xfId="3" applyNumberFormat="1" applyFont="1" applyFill="1" applyBorder="1" applyAlignment="1">
      <alignment horizontal="center" vertical="center"/>
    </xf>
    <xf numFmtId="8" fontId="3" fillId="2" borderId="0" xfId="2" applyNumberFormat="1" applyFont="1" applyFill="1" applyBorder="1" applyAlignment="1">
      <alignment horizontal="center" vertical="center"/>
    </xf>
    <xf numFmtId="6" fontId="12" fillId="3" borderId="0" xfId="3" applyNumberFormat="1" applyFont="1" applyFill="1" applyBorder="1" applyAlignment="1">
      <alignment horizontal="center" vertical="center"/>
    </xf>
    <xf numFmtId="165" fontId="3" fillId="2" borderId="0" xfId="2" applyNumberFormat="1" applyFont="1" applyFill="1" applyBorder="1" applyAlignment="1">
      <alignment horizontal="center" vertical="center"/>
    </xf>
    <xf numFmtId="8" fontId="11" fillId="14" borderId="0" xfId="3" applyNumberFormat="1" applyFont="1" applyFill="1" applyBorder="1" applyAlignment="1">
      <alignment horizontal="center" vertical="center"/>
    </xf>
    <xf numFmtId="0" fontId="6" fillId="2" borderId="0" xfId="3" applyFill="1" applyAlignment="1">
      <alignment horizontal="center" vertical="center"/>
    </xf>
    <xf numFmtId="8" fontId="6" fillId="2" borderId="0" xfId="3" applyNumberFormat="1" applyFill="1" applyAlignment="1">
      <alignment horizontal="center" vertical="center"/>
    </xf>
    <xf numFmtId="8" fontId="7" fillId="2" borderId="0" xfId="4" applyNumberFormat="1" applyFill="1" applyBorder="1" applyAlignment="1">
      <alignment horizontal="center" vertical="center"/>
    </xf>
    <xf numFmtId="8" fontId="17" fillId="2" borderId="0" xfId="3" applyNumberFormat="1" applyFont="1" applyFill="1" applyAlignment="1">
      <alignment horizontal="center" vertical="center"/>
    </xf>
    <xf numFmtId="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8" fontId="11" fillId="15" borderId="0" xfId="3" applyNumberFormat="1" applyFont="1" applyFill="1" applyBorder="1" applyAlignment="1">
      <alignment horizontal="center" vertical="center"/>
    </xf>
    <xf numFmtId="6" fontId="12" fillId="3" borderId="0" xfId="3" applyNumberFormat="1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9" fontId="3" fillId="2" borderId="0" xfId="1" applyFont="1" applyFill="1" applyAlignment="1">
      <alignment horizontal="center" vertical="center"/>
    </xf>
    <xf numFmtId="1" fontId="3" fillId="16" borderId="0" xfId="2" applyNumberFormat="1" applyFont="1" applyFill="1" applyBorder="1" applyAlignment="1">
      <alignment horizontal="center" vertical="center"/>
    </xf>
    <xf numFmtId="1" fontId="1" fillId="16" borderId="0" xfId="2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6" fontId="3" fillId="2" borderId="0" xfId="2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4" fontId="3" fillId="16" borderId="0" xfId="2" applyFont="1" applyFill="1" applyBorder="1" applyAlignment="1">
      <alignment horizontal="center" vertical="center"/>
    </xf>
    <xf numFmtId="6" fontId="3" fillId="16" borderId="0" xfId="2" applyNumberFormat="1" applyFont="1" applyFill="1" applyBorder="1" applyAlignment="1">
      <alignment horizontal="center" vertical="center"/>
    </xf>
    <xf numFmtId="44" fontId="3" fillId="17" borderId="0" xfId="2" applyFont="1" applyFill="1" applyBorder="1" applyAlignment="1">
      <alignment horizontal="center" vertical="center"/>
    </xf>
    <xf numFmtId="44" fontId="7" fillId="17" borderId="0" xfId="4" applyNumberFormat="1" applyFill="1" applyBorder="1" applyAlignment="1">
      <alignment horizontal="center" vertical="center"/>
    </xf>
    <xf numFmtId="6" fontId="3" fillId="17" borderId="0" xfId="2" applyNumberFormat="1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166" fontId="3" fillId="17" borderId="0" xfId="2" applyNumberFormat="1" applyFont="1" applyFill="1" applyBorder="1" applyAlignment="1">
      <alignment horizontal="center" vertical="center"/>
    </xf>
    <xf numFmtId="44" fontId="19" fillId="16" borderId="0" xfId="2" applyFont="1" applyFill="1" applyBorder="1" applyAlignment="1">
      <alignment horizontal="center" vertical="center"/>
    </xf>
    <xf numFmtId="44" fontId="19" fillId="2" borderId="0" xfId="2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6" fontId="0" fillId="2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6" fontId="0" fillId="2" borderId="11" xfId="0" applyNumberFormat="1" applyFill="1" applyBorder="1" applyAlignment="1">
      <alignment horizontal="center"/>
    </xf>
    <xf numFmtId="6" fontId="0" fillId="2" borderId="15" xfId="0" applyNumberFormat="1" applyFill="1" applyBorder="1" applyAlignment="1">
      <alignment horizontal="center" vertical="center"/>
    </xf>
    <xf numFmtId="6" fontId="0" fillId="2" borderId="10" xfId="0" applyNumberFormat="1" applyFill="1" applyBorder="1" applyAlignment="1">
      <alignment horizontal="center" vertical="center"/>
    </xf>
    <xf numFmtId="6" fontId="0" fillId="2" borderId="11" xfId="0" applyNumberFormat="1" applyFill="1" applyBorder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6" fontId="0" fillId="2" borderId="3" xfId="0" applyNumberFormat="1" applyFill="1" applyBorder="1" applyAlignment="1">
      <alignment horizontal="center" vertical="center"/>
    </xf>
    <xf numFmtId="6" fontId="0" fillId="2" borderId="8" xfId="0" applyNumberForma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6" fontId="1" fillId="19" borderId="1" xfId="0" applyNumberFormat="1" applyFont="1" applyFill="1" applyBorder="1" applyAlignment="1">
      <alignment horizontal="center"/>
    </xf>
    <xf numFmtId="44" fontId="11" fillId="14" borderId="0" xfId="3" applyNumberFormat="1" applyFont="1" applyFill="1" applyBorder="1" applyAlignment="1">
      <alignment horizontal="center" vertical="center"/>
    </xf>
    <xf numFmtId="6" fontId="10" fillId="8" borderId="0" xfId="3" applyNumberFormat="1" applyFont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6" fontId="0" fillId="2" borderId="6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6" fontId="0" fillId="2" borderId="4" xfId="0" applyNumberFormat="1" applyFill="1" applyBorder="1" applyAlignment="1">
      <alignment horizontal="center" vertical="center"/>
    </xf>
    <xf numFmtId="6" fontId="0" fillId="2" borderId="9" xfId="0" applyNumberForma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8" fontId="1" fillId="2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6" fontId="1" fillId="5" borderId="1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</cellXfs>
  <cellStyles count="5">
    <cellStyle name="Incorrecto" xfId="3" builtinId="27"/>
    <cellStyle name="Moneda" xfId="2" builtinId="4"/>
    <cellStyle name="Neutral" xfId="4" builtinId="28"/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662940</xdr:colOff>
      <xdr:row>0</xdr:row>
      <xdr:rowOff>0</xdr:rowOff>
    </xdr:from>
    <xdr:to>
      <xdr:col>24</xdr:col>
      <xdr:colOff>99060</xdr:colOff>
      <xdr:row>7</xdr:row>
      <xdr:rowOff>95007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8C6A8C-E2DD-E0ED-A333-28448656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9420" y="190501"/>
          <a:ext cx="5775960" cy="1392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calendario-2026-excel-lunes-a-domingo%20(2).xlsx" TargetMode="External"/><Relationship Id="rId2" Type="http://schemas.openxmlformats.org/officeDocument/2006/relationships/externalLinkPath" Target="file:///C:\Users\victor.muliterno\Downloads\calendario-2026-excel-lunes-a-domingo%20(2).xlsx" TargetMode="External"/><Relationship Id="rId1" Type="http://schemas.openxmlformats.org/officeDocument/2006/relationships/externalLinkPath" Target="/Users/victor.muliterno/Downloads/calendario-2026-excel-lunes-a-domingo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leto"/>
      <sheetName val="Mensual"/>
      <sheetName val="Mini"/>
      <sheetName val="Semanal"/>
      <sheetName val="Diario"/>
      <sheetName val="Configuracion"/>
    </sheetNames>
    <sheetDataSet>
      <sheetData sheetId="0">
        <row r="1">
          <cell r="B1">
            <v>46023</v>
          </cell>
        </row>
      </sheetData>
      <sheetData sheetId="1"/>
      <sheetData sheetId="2"/>
      <sheetData sheetId="3"/>
      <sheetData sheetId="4">
        <row r="2">
          <cell r="F2">
            <v>0</v>
          </cell>
        </row>
        <row r="3"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  <row r="308">
          <cell r="F308">
            <v>0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0</v>
          </cell>
        </row>
        <row r="318">
          <cell r="F318">
            <v>0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0</v>
          </cell>
        </row>
        <row r="333">
          <cell r="F333">
            <v>0</v>
          </cell>
        </row>
        <row r="334">
          <cell r="F334">
            <v>0</v>
          </cell>
        </row>
        <row r="335">
          <cell r="F335">
            <v>0</v>
          </cell>
        </row>
        <row r="336">
          <cell r="F336">
            <v>0</v>
          </cell>
        </row>
        <row r="337">
          <cell r="F337">
            <v>0</v>
          </cell>
        </row>
        <row r="338">
          <cell r="F338">
            <v>0</v>
          </cell>
        </row>
        <row r="339">
          <cell r="F339">
            <v>0</v>
          </cell>
        </row>
        <row r="340">
          <cell r="F340">
            <v>0</v>
          </cell>
        </row>
        <row r="341">
          <cell r="F341">
            <v>0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0</v>
          </cell>
        </row>
        <row r="361">
          <cell r="F361">
            <v>0</v>
          </cell>
        </row>
        <row r="362">
          <cell r="F362">
            <v>0</v>
          </cell>
        </row>
        <row r="363">
          <cell r="F363">
            <v>0</v>
          </cell>
        </row>
        <row r="364">
          <cell r="F364">
            <v>0</v>
          </cell>
        </row>
        <row r="365">
          <cell r="F365">
            <v>0</v>
          </cell>
        </row>
        <row r="366">
          <cell r="F36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4528-6CDD-47B0-9297-6F56FC037419}">
  <dimension ref="A1:N29"/>
  <sheetViews>
    <sheetView topLeftCell="E1" zoomScale="110" zoomScaleNormal="100" workbookViewId="0">
      <selection activeCell="K20" sqref="K20"/>
    </sheetView>
  </sheetViews>
  <sheetFormatPr baseColWidth="10" defaultRowHeight="14.4" x14ac:dyDescent="0.3"/>
  <cols>
    <col min="1" max="1" width="3.77734375" style="32" customWidth="1"/>
    <col min="2" max="2" width="25.77734375" style="32" bestFit="1" customWidth="1"/>
    <col min="3" max="4" width="10.77734375" style="32" bestFit="1" customWidth="1"/>
    <col min="5" max="5" width="8.6640625" style="32" bestFit="1" customWidth="1"/>
    <col min="6" max="9" width="11.5546875" style="32"/>
    <col min="10" max="10" width="24.109375" style="32" customWidth="1"/>
    <col min="11" max="11" width="16.44140625" style="32" bestFit="1" customWidth="1"/>
    <col min="12" max="16384" width="11.5546875" style="32"/>
  </cols>
  <sheetData>
    <row r="1" spans="1:14" ht="15" thickBot="1" x14ac:dyDescent="0.35">
      <c r="A1" s="123"/>
    </row>
    <row r="2" spans="1:14" ht="15" thickBot="1" x14ac:dyDescent="0.35">
      <c r="A2" s="123"/>
      <c r="B2" s="128" t="s">
        <v>265</v>
      </c>
      <c r="C2" s="129" t="s">
        <v>8</v>
      </c>
      <c r="D2" s="36" t="s">
        <v>9</v>
      </c>
      <c r="E2" s="36" t="s">
        <v>10</v>
      </c>
      <c r="F2" s="36" t="s">
        <v>11</v>
      </c>
      <c r="G2" s="36" t="s">
        <v>12</v>
      </c>
      <c r="H2" s="127" t="s">
        <v>31</v>
      </c>
      <c r="I2" s="2"/>
      <c r="J2" s="1"/>
      <c r="K2" s="126" t="s">
        <v>264</v>
      </c>
      <c r="L2" s="26" t="s">
        <v>255</v>
      </c>
      <c r="M2" s="26" t="s">
        <v>256</v>
      </c>
    </row>
    <row r="3" spans="1:14" x14ac:dyDescent="0.3">
      <c r="A3" s="123"/>
      <c r="B3" s="11" t="s">
        <v>232</v>
      </c>
      <c r="C3" s="8"/>
      <c r="D3" s="9">
        <v>5</v>
      </c>
      <c r="E3" s="9"/>
      <c r="F3" s="9">
        <v>5</v>
      </c>
      <c r="G3" s="9">
        <v>5</v>
      </c>
      <c r="H3" s="10"/>
      <c r="I3" s="1">
        <f t="shared" ref="I3:I12" si="0">SUM(C3:H3)</f>
        <v>15</v>
      </c>
      <c r="J3" s="2"/>
      <c r="K3" s="154" t="s">
        <v>263</v>
      </c>
      <c r="L3" s="25">
        <v>-653.52</v>
      </c>
      <c r="M3" s="25">
        <v>-653.52</v>
      </c>
    </row>
    <row r="4" spans="1:14" x14ac:dyDescent="0.3">
      <c r="A4" s="123"/>
      <c r="B4" s="11" t="s">
        <v>233</v>
      </c>
      <c r="C4" s="11"/>
      <c r="D4" s="1">
        <v>5</v>
      </c>
      <c r="E4" s="1"/>
      <c r="F4" s="1">
        <v>5</v>
      </c>
      <c r="G4" s="1">
        <v>5</v>
      </c>
      <c r="H4" s="12"/>
      <c r="I4" s="1">
        <f t="shared" si="0"/>
        <v>15</v>
      </c>
      <c r="J4" s="2"/>
      <c r="K4" s="117" t="s">
        <v>32</v>
      </c>
      <c r="L4" s="116">
        <v>-408</v>
      </c>
      <c r="M4" s="116">
        <v>-408</v>
      </c>
    </row>
    <row r="5" spans="1:14" x14ac:dyDescent="0.3">
      <c r="A5" s="123"/>
      <c r="B5" s="11" t="s">
        <v>234</v>
      </c>
      <c r="C5" s="11"/>
      <c r="D5" s="1">
        <v>5</v>
      </c>
      <c r="E5" s="1"/>
      <c r="F5" s="1">
        <v>5</v>
      </c>
      <c r="G5" s="1">
        <v>5</v>
      </c>
      <c r="H5" s="12"/>
      <c r="I5" s="1">
        <f t="shared" si="0"/>
        <v>15</v>
      </c>
      <c r="J5" s="2"/>
      <c r="K5" s="117" t="s">
        <v>33</v>
      </c>
      <c r="L5" s="13">
        <v>-50</v>
      </c>
      <c r="M5" s="13">
        <v>-50</v>
      </c>
    </row>
    <row r="6" spans="1:14" x14ac:dyDescent="0.3">
      <c r="B6" s="11" t="s">
        <v>235</v>
      </c>
      <c r="C6" s="11"/>
      <c r="D6" s="1">
        <v>5</v>
      </c>
      <c r="E6" s="1"/>
      <c r="F6" s="1">
        <v>5</v>
      </c>
      <c r="G6" s="1">
        <v>5</v>
      </c>
      <c r="H6" s="12"/>
      <c r="I6" s="1">
        <f t="shared" si="0"/>
        <v>15</v>
      </c>
      <c r="J6" s="2"/>
      <c r="K6" s="117" t="s">
        <v>34</v>
      </c>
      <c r="L6" s="13">
        <v>-40</v>
      </c>
      <c r="M6" s="13">
        <v>-40</v>
      </c>
    </row>
    <row r="7" spans="1:14" x14ac:dyDescent="0.3">
      <c r="B7" s="11" t="s">
        <v>221</v>
      </c>
      <c r="C7" s="11"/>
      <c r="D7" s="1"/>
      <c r="E7" s="1"/>
      <c r="F7" s="1"/>
      <c r="G7" s="1"/>
      <c r="H7" s="12"/>
      <c r="I7" s="1"/>
      <c r="J7" s="2"/>
      <c r="K7" s="117" t="s">
        <v>257</v>
      </c>
      <c r="L7" s="116">
        <v>-112</v>
      </c>
      <c r="M7" s="116">
        <v>-112</v>
      </c>
    </row>
    <row r="8" spans="1:14" x14ac:dyDescent="0.3">
      <c r="B8" s="11" t="s">
        <v>236</v>
      </c>
      <c r="C8" s="11">
        <v>5</v>
      </c>
      <c r="D8" s="1">
        <v>5</v>
      </c>
      <c r="E8" s="1">
        <v>5</v>
      </c>
      <c r="F8" s="1">
        <v>5</v>
      </c>
      <c r="G8" s="1">
        <v>5</v>
      </c>
      <c r="H8" s="12"/>
      <c r="I8" s="1">
        <f t="shared" si="0"/>
        <v>25</v>
      </c>
      <c r="J8" s="1"/>
      <c r="K8" s="117" t="s">
        <v>258</v>
      </c>
      <c r="L8" s="13">
        <v>-7</v>
      </c>
      <c r="M8" s="13">
        <v>-7</v>
      </c>
    </row>
    <row r="9" spans="1:14" x14ac:dyDescent="0.3">
      <c r="B9" s="11" t="s">
        <v>237</v>
      </c>
      <c r="C9" s="11">
        <v>5</v>
      </c>
      <c r="D9" s="1">
        <v>5</v>
      </c>
      <c r="E9" s="1">
        <v>5</v>
      </c>
      <c r="F9" s="1">
        <v>5</v>
      </c>
      <c r="G9" s="1">
        <v>5</v>
      </c>
      <c r="H9" s="12"/>
      <c r="I9" s="1">
        <f t="shared" si="0"/>
        <v>25</v>
      </c>
      <c r="J9" s="1"/>
      <c r="K9" s="117" t="s">
        <v>472</v>
      </c>
      <c r="L9" s="13">
        <v>-21</v>
      </c>
      <c r="M9" s="13">
        <v>-21</v>
      </c>
    </row>
    <row r="10" spans="1:14" x14ac:dyDescent="0.3">
      <c r="B10" s="11" t="s">
        <v>238</v>
      </c>
      <c r="C10" s="11">
        <v>5</v>
      </c>
      <c r="D10" s="1">
        <v>5</v>
      </c>
      <c r="E10" s="1">
        <v>5</v>
      </c>
      <c r="F10" s="1">
        <v>5</v>
      </c>
      <c r="G10" s="1">
        <v>5</v>
      </c>
      <c r="H10" s="12"/>
      <c r="I10" s="1">
        <f t="shared" si="0"/>
        <v>25</v>
      </c>
      <c r="J10" s="2"/>
      <c r="K10" s="117" t="s">
        <v>473</v>
      </c>
      <c r="L10" s="13">
        <v>-205</v>
      </c>
      <c r="M10" s="13">
        <v>-205</v>
      </c>
    </row>
    <row r="11" spans="1:14" ht="15" thickBot="1" x14ac:dyDescent="0.35">
      <c r="B11" s="15" t="s">
        <v>239</v>
      </c>
      <c r="C11" s="15">
        <v>5</v>
      </c>
      <c r="D11" s="16">
        <v>5</v>
      </c>
      <c r="E11" s="16">
        <v>5</v>
      </c>
      <c r="F11" s="16">
        <v>5</v>
      </c>
      <c r="G11" s="16">
        <v>5</v>
      </c>
      <c r="H11" s="17"/>
      <c r="I11" s="1">
        <f t="shared" si="0"/>
        <v>25</v>
      </c>
      <c r="J11" s="2"/>
      <c r="K11" s="117" t="s">
        <v>469</v>
      </c>
      <c r="L11" s="13">
        <v>-892.03</v>
      </c>
      <c r="M11" s="13">
        <v>-1189.3499999999999</v>
      </c>
    </row>
    <row r="12" spans="1:14" ht="15" thickBot="1" x14ac:dyDescent="0.35">
      <c r="B12" s="1"/>
      <c r="C12" s="15">
        <f t="shared" ref="C12:H12" si="1">SUM(C3:C11)</f>
        <v>20</v>
      </c>
      <c r="D12" s="16">
        <f t="shared" si="1"/>
        <v>40</v>
      </c>
      <c r="E12" s="16">
        <f t="shared" si="1"/>
        <v>20</v>
      </c>
      <c r="F12" s="16">
        <f t="shared" si="1"/>
        <v>40</v>
      </c>
      <c r="G12" s="16">
        <f t="shared" si="1"/>
        <v>40</v>
      </c>
      <c r="H12" s="17">
        <f t="shared" si="1"/>
        <v>0</v>
      </c>
      <c r="I12" s="3">
        <f t="shared" si="0"/>
        <v>160</v>
      </c>
      <c r="J12" s="7" t="s">
        <v>13</v>
      </c>
      <c r="K12" s="117" t="s">
        <v>474</v>
      </c>
      <c r="L12" s="13">
        <v>-160</v>
      </c>
      <c r="M12" s="13">
        <v>-160</v>
      </c>
      <c r="N12" s="32" t="s">
        <v>524</v>
      </c>
    </row>
    <row r="13" spans="1:14" x14ac:dyDescent="0.3">
      <c r="B13" s="1"/>
      <c r="C13" s="1"/>
      <c r="D13" s="1"/>
      <c r="E13" s="1"/>
      <c r="F13" s="1"/>
      <c r="G13" s="1"/>
      <c r="H13" s="1"/>
      <c r="I13" s="3">
        <f>I12*4</f>
        <v>640</v>
      </c>
      <c r="J13" s="7" t="s">
        <v>14</v>
      </c>
      <c r="K13" s="117" t="s">
        <v>471</v>
      </c>
      <c r="L13" s="116">
        <v>-513.91999999999996</v>
      </c>
      <c r="M13" s="116">
        <v>-513.91999999999996</v>
      </c>
    </row>
    <row r="14" spans="1:14" ht="15" thickBot="1" x14ac:dyDescent="0.35">
      <c r="K14" s="117" t="s">
        <v>475</v>
      </c>
      <c r="L14" s="13">
        <f>-4*32</f>
        <v>-128</v>
      </c>
      <c r="M14" s="13">
        <f>-4*32</f>
        <v>-128</v>
      </c>
      <c r="N14" s="32" t="s">
        <v>524</v>
      </c>
    </row>
    <row r="15" spans="1:14" ht="15" thickBot="1" x14ac:dyDescent="0.35">
      <c r="B15" s="126" t="s">
        <v>72</v>
      </c>
      <c r="C15" s="9">
        <v>63</v>
      </c>
      <c r="D15" s="36"/>
      <c r="E15" s="9"/>
      <c r="F15" s="9"/>
      <c r="G15" s="10"/>
      <c r="K15" s="117" t="s">
        <v>470</v>
      </c>
      <c r="L15" s="116">
        <v>-495.58</v>
      </c>
      <c r="M15" s="116">
        <v>-495.58</v>
      </c>
    </row>
    <row r="16" spans="1:14" ht="15" thickBot="1" x14ac:dyDescent="0.35">
      <c r="B16" s="11"/>
      <c r="C16" s="3" t="s">
        <v>15</v>
      </c>
      <c r="D16" s="3" t="s">
        <v>16</v>
      </c>
      <c r="E16" s="3" t="s">
        <v>17</v>
      </c>
      <c r="F16" s="3" t="s">
        <v>18</v>
      </c>
      <c r="G16" s="43" t="s">
        <v>20</v>
      </c>
      <c r="K16" s="118" t="s">
        <v>467</v>
      </c>
      <c r="L16" s="119">
        <v>-100</v>
      </c>
      <c r="M16" s="119">
        <v>-100</v>
      </c>
      <c r="N16" s="32" t="s">
        <v>524</v>
      </c>
    </row>
    <row r="17" spans="2:13" ht="15" thickBot="1" x14ac:dyDescent="0.35">
      <c r="B17" s="44" t="s">
        <v>476</v>
      </c>
      <c r="C17" s="1">
        <v>90</v>
      </c>
      <c r="D17" s="1">
        <v>4</v>
      </c>
      <c r="E17" s="1">
        <f>C17*D17</f>
        <v>360</v>
      </c>
      <c r="F17" s="4">
        <v>75</v>
      </c>
      <c r="G17" s="13">
        <f>C17*F17</f>
        <v>6750</v>
      </c>
      <c r="L17" s="155">
        <f ca="1">SUM(L3:L17)</f>
        <v>-3786.05</v>
      </c>
      <c r="M17" s="155">
        <f ca="1">SUM(M3:M17)</f>
        <v>-4083.37</v>
      </c>
    </row>
    <row r="18" spans="2:13" x14ac:dyDescent="0.3">
      <c r="B18" s="44" t="s">
        <v>477</v>
      </c>
      <c r="C18" s="1">
        <v>5</v>
      </c>
      <c r="D18" s="1">
        <v>8</v>
      </c>
      <c r="E18" s="1">
        <f>C18*D18</f>
        <v>40</v>
      </c>
      <c r="F18" s="4">
        <v>140</v>
      </c>
      <c r="G18" s="13">
        <f>C18*F18</f>
        <v>700</v>
      </c>
      <c r="K18" s="1"/>
    </row>
    <row r="19" spans="2:13" x14ac:dyDescent="0.3">
      <c r="B19" s="44" t="s">
        <v>484</v>
      </c>
      <c r="C19" s="1">
        <v>3</v>
      </c>
      <c r="D19" s="1">
        <v>4</v>
      </c>
      <c r="E19" s="1">
        <f>C19*D19</f>
        <v>12</v>
      </c>
      <c r="F19" s="4">
        <v>37.5</v>
      </c>
      <c r="G19" s="13">
        <f>C19*F19</f>
        <v>112.5</v>
      </c>
    </row>
    <row r="20" spans="2:13" x14ac:dyDescent="0.3">
      <c r="B20" s="44" t="s">
        <v>261</v>
      </c>
      <c r="C20" s="1">
        <v>10</v>
      </c>
      <c r="D20" s="1">
        <v>2</v>
      </c>
      <c r="E20" s="1">
        <f>C20*D20</f>
        <v>20</v>
      </c>
      <c r="F20" s="4">
        <v>25</v>
      </c>
      <c r="G20" s="13">
        <f>C20*F20</f>
        <v>250</v>
      </c>
    </row>
    <row r="21" spans="2:13" x14ac:dyDescent="0.3">
      <c r="B21" s="44" t="s">
        <v>262</v>
      </c>
      <c r="C21" s="1">
        <v>25</v>
      </c>
      <c r="D21" s="1">
        <v>1</v>
      </c>
      <c r="E21" s="1">
        <f>C21*D21</f>
        <v>25</v>
      </c>
      <c r="F21" s="4">
        <v>8</v>
      </c>
      <c r="G21" s="13">
        <f>C21*F21</f>
        <v>200</v>
      </c>
    </row>
    <row r="22" spans="2:13" ht="15" thickBot="1" x14ac:dyDescent="0.35">
      <c r="B22" s="11"/>
      <c r="C22" s="1"/>
      <c r="D22" s="1"/>
      <c r="E22" s="3">
        <f>SUM(E17:E21)</f>
        <v>457</v>
      </c>
      <c r="F22" s="1"/>
      <c r="G22" s="14">
        <f>SUM(G17:G21)</f>
        <v>8012.5</v>
      </c>
    </row>
    <row r="23" spans="2:13" ht="15" thickBot="1" x14ac:dyDescent="0.35">
      <c r="B23" s="15"/>
      <c r="C23" s="16"/>
      <c r="D23" s="16"/>
      <c r="E23" s="19">
        <f>E22/$I$13</f>
        <v>0.71406250000000004</v>
      </c>
      <c r="F23" s="16"/>
      <c r="G23" s="130">
        <f>G22/1.21</f>
        <v>6621.9008264462809</v>
      </c>
      <c r="H23" s="34" t="s">
        <v>269</v>
      </c>
    </row>
    <row r="25" spans="2:13" x14ac:dyDescent="0.3">
      <c r="B25" s="1"/>
      <c r="C25" s="1"/>
      <c r="D25" s="1"/>
      <c r="E25" s="1"/>
      <c r="F25" s="1"/>
      <c r="G25" s="1"/>
    </row>
    <row r="26" spans="2:13" ht="15" thickBot="1" x14ac:dyDescent="0.35"/>
    <row r="27" spans="2:13" ht="15" thickBot="1" x14ac:dyDescent="0.35">
      <c r="B27" s="126" t="s">
        <v>266</v>
      </c>
      <c r="C27" s="93" t="s">
        <v>270</v>
      </c>
    </row>
    <row r="28" spans="2:13" x14ac:dyDescent="0.3">
      <c r="C28" s="93" t="s">
        <v>267</v>
      </c>
    </row>
    <row r="29" spans="2:13" x14ac:dyDescent="0.3">
      <c r="C29" s="93" t="s">
        <v>268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3D7C-66D8-4EB5-B4E7-98F5C2D8EC2B}">
  <dimension ref="B1:P39"/>
  <sheetViews>
    <sheetView zoomScale="85" zoomScaleNormal="85" workbookViewId="0"/>
  </sheetViews>
  <sheetFormatPr baseColWidth="10" defaultColWidth="12.44140625" defaultRowHeight="14.4" x14ac:dyDescent="0.3"/>
  <cols>
    <col min="1" max="1" width="12.44140625" style="1"/>
    <col min="2" max="2" width="19.6640625" style="1" bestFit="1" customWidth="1"/>
    <col min="3" max="8" width="12.44140625" style="1"/>
    <col min="9" max="9" width="12.44140625" style="2"/>
    <col min="10" max="10" width="12.44140625" style="1"/>
    <col min="11" max="11" width="6.109375" style="1" customWidth="1"/>
    <col min="12" max="12" width="24.44140625" style="1" bestFit="1" customWidth="1"/>
    <col min="13" max="13" width="12.44140625" style="1"/>
    <col min="14" max="14" width="6.33203125" style="1" customWidth="1"/>
    <col min="15" max="15" width="16.6640625" style="1" bestFit="1" customWidth="1"/>
    <col min="16" max="16384" width="12.44140625" style="1"/>
  </cols>
  <sheetData>
    <row r="1" spans="2:16" ht="15" thickBot="1" x14ac:dyDescent="0.35"/>
    <row r="2" spans="2:16" ht="15" thickBot="1" x14ac:dyDescent="0.35">
      <c r="B2" s="3" t="s">
        <v>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31</v>
      </c>
      <c r="O2" s="159" t="s">
        <v>465</v>
      </c>
      <c r="P2" s="160"/>
    </row>
    <row r="3" spans="2:16" ht="15" thickBot="1" x14ac:dyDescent="0.35">
      <c r="B3" s="1" t="s">
        <v>454</v>
      </c>
      <c r="D3" s="1">
        <v>5</v>
      </c>
      <c r="F3" s="1">
        <v>5</v>
      </c>
      <c r="G3" s="1">
        <v>5</v>
      </c>
      <c r="I3" s="1">
        <f>SUM(C3:H3)</f>
        <v>15</v>
      </c>
      <c r="J3" s="2"/>
      <c r="L3" s="23" t="s">
        <v>42</v>
      </c>
      <c r="M3" s="28">
        <f>E28</f>
        <v>0.75624999999999998</v>
      </c>
      <c r="O3" s="115" t="s">
        <v>293</v>
      </c>
      <c r="P3" s="26" t="s">
        <v>294</v>
      </c>
    </row>
    <row r="4" spans="2:16" x14ac:dyDescent="0.3">
      <c r="B4" s="1" t="s">
        <v>232</v>
      </c>
      <c r="D4" s="1">
        <v>5</v>
      </c>
      <c r="F4" s="1">
        <v>5</v>
      </c>
      <c r="G4" s="1">
        <v>5</v>
      </c>
      <c r="I4" s="1">
        <f t="shared" ref="I4:I12" si="0">SUM(C4:H4)</f>
        <v>15</v>
      </c>
      <c r="J4" s="2"/>
      <c r="L4" s="11"/>
      <c r="M4" s="12"/>
      <c r="O4" s="51" t="s">
        <v>263</v>
      </c>
      <c r="P4" s="13">
        <v>-653.52</v>
      </c>
    </row>
    <row r="5" spans="2:16" x14ac:dyDescent="0.3">
      <c r="B5" s="1" t="s">
        <v>233</v>
      </c>
      <c r="D5" s="1">
        <v>5</v>
      </c>
      <c r="F5" s="1">
        <v>5</v>
      </c>
      <c r="G5" s="1">
        <v>5</v>
      </c>
      <c r="I5" s="1">
        <f t="shared" si="0"/>
        <v>15</v>
      </c>
      <c r="J5" s="2"/>
      <c r="L5" s="20" t="s">
        <v>37</v>
      </c>
      <c r="M5" s="13">
        <f>G27</f>
        <v>7942.5</v>
      </c>
      <c r="O5" s="117" t="s">
        <v>58</v>
      </c>
      <c r="P5" s="13">
        <v>-205.7</v>
      </c>
    </row>
    <row r="6" spans="2:16" x14ac:dyDescent="0.3">
      <c r="B6" s="1" t="s">
        <v>234</v>
      </c>
      <c r="D6" s="1">
        <v>5</v>
      </c>
      <c r="F6" s="1">
        <v>5</v>
      </c>
      <c r="G6" s="1">
        <v>5</v>
      </c>
      <c r="I6" s="1">
        <f t="shared" si="0"/>
        <v>15</v>
      </c>
      <c r="J6" s="2"/>
      <c r="L6" s="20" t="s">
        <v>468</v>
      </c>
      <c r="M6" s="13">
        <f>-M5*(1-0.77)</f>
        <v>-1826.7749999999999</v>
      </c>
      <c r="O6" s="117" t="s">
        <v>257</v>
      </c>
      <c r="P6" s="116">
        <v>-110</v>
      </c>
    </row>
    <row r="7" spans="2:16" x14ac:dyDescent="0.3">
      <c r="B7" s="1" t="s">
        <v>235</v>
      </c>
      <c r="I7" s="1">
        <f t="shared" si="0"/>
        <v>0</v>
      </c>
      <c r="J7" s="2"/>
      <c r="L7" s="20" t="s">
        <v>38</v>
      </c>
      <c r="M7" s="13">
        <f>P16</f>
        <v>-4470.62</v>
      </c>
      <c r="O7" s="117" t="s">
        <v>32</v>
      </c>
      <c r="P7" s="116">
        <v>-408</v>
      </c>
    </row>
    <row r="8" spans="2:16" x14ac:dyDescent="0.3">
      <c r="B8" s="1" t="s">
        <v>221</v>
      </c>
      <c r="I8" s="1">
        <f t="shared" si="0"/>
        <v>0</v>
      </c>
      <c r="J8" s="2"/>
      <c r="L8" s="20" t="s">
        <v>39</v>
      </c>
      <c r="M8" s="13">
        <f>SUM(M5:M7)</f>
        <v>1645.1050000000005</v>
      </c>
      <c r="O8" s="117" t="s">
        <v>33</v>
      </c>
      <c r="P8" s="13">
        <v>-100</v>
      </c>
    </row>
    <row r="9" spans="2:16" ht="15" thickBot="1" x14ac:dyDescent="0.35">
      <c r="B9" s="1" t="s">
        <v>236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I9" s="1">
        <f t="shared" si="0"/>
        <v>25</v>
      </c>
      <c r="L9" s="20" t="s">
        <v>40</v>
      </c>
      <c r="M9" s="13">
        <f>-M8*0.25</f>
        <v>-411.27625000000012</v>
      </c>
      <c r="O9" s="117" t="s">
        <v>34</v>
      </c>
      <c r="P9" s="13">
        <v>-50</v>
      </c>
    </row>
    <row r="10" spans="2:16" ht="15" thickBot="1" x14ac:dyDescent="0.35">
      <c r="B10" s="1" t="s">
        <v>237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I10" s="1">
        <f t="shared" si="0"/>
        <v>25</v>
      </c>
      <c r="L10" s="21" t="s">
        <v>41</v>
      </c>
      <c r="M10" s="24">
        <f>M8+M9</f>
        <v>1233.8287500000004</v>
      </c>
      <c r="O10" s="117" t="s">
        <v>258</v>
      </c>
      <c r="P10" s="13">
        <v>-7</v>
      </c>
    </row>
    <row r="11" spans="2:16" x14ac:dyDescent="0.3">
      <c r="B11" s="1" t="s">
        <v>238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I11" s="1">
        <f t="shared" si="0"/>
        <v>25</v>
      </c>
      <c r="J11" s="2"/>
      <c r="O11" s="117" t="s">
        <v>467</v>
      </c>
      <c r="P11" s="13">
        <v>-144</v>
      </c>
    </row>
    <row r="12" spans="2:16" ht="15" thickBot="1" x14ac:dyDescent="0.35">
      <c r="B12" s="1" t="s">
        <v>239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I12" s="1">
        <f t="shared" si="0"/>
        <v>25</v>
      </c>
      <c r="J12" s="2"/>
      <c r="O12" s="117" t="s">
        <v>274</v>
      </c>
      <c r="P12" s="116">
        <f>-1190.4-160</f>
        <v>-1350.4</v>
      </c>
    </row>
    <row r="13" spans="2:16" x14ac:dyDescent="0.3">
      <c r="C13" s="1">
        <f t="shared" ref="C13:H13" ca="1" si="1">SUM(C3:C14)</f>
        <v>20</v>
      </c>
      <c r="D13" s="1">
        <f t="shared" ca="1" si="1"/>
        <v>40</v>
      </c>
      <c r="E13" s="1">
        <f t="shared" ca="1" si="1"/>
        <v>20</v>
      </c>
      <c r="F13" s="1">
        <f t="shared" ca="1" si="1"/>
        <v>40</v>
      </c>
      <c r="G13" s="1">
        <f t="shared" ca="1" si="1"/>
        <v>40</v>
      </c>
      <c r="H13" s="1">
        <f t="shared" ca="1" si="1"/>
        <v>0</v>
      </c>
      <c r="I13" s="3">
        <f ca="1">SUM(C13:H13)</f>
        <v>0</v>
      </c>
      <c r="J13" s="7" t="s">
        <v>13</v>
      </c>
      <c r="L13" s="23" t="s">
        <v>43</v>
      </c>
      <c r="M13" s="10"/>
      <c r="O13" s="117" t="s">
        <v>275</v>
      </c>
      <c r="P13" s="116">
        <v>-557</v>
      </c>
    </row>
    <row r="14" spans="2:16" x14ac:dyDescent="0.3">
      <c r="I14" s="3">
        <f ca="1">I13*4</f>
        <v>640</v>
      </c>
      <c r="J14" s="7" t="s">
        <v>14</v>
      </c>
      <c r="L14" s="11"/>
      <c r="M14" s="12"/>
      <c r="O14" s="117" t="s">
        <v>276</v>
      </c>
      <c r="P14" s="116">
        <f>-557-128</f>
        <v>-685</v>
      </c>
    </row>
    <row r="15" spans="2:16" ht="15" thickBot="1" x14ac:dyDescent="0.35">
      <c r="L15" s="20" t="s">
        <v>37</v>
      </c>
      <c r="M15" s="13">
        <f>M5*12</f>
        <v>95310</v>
      </c>
      <c r="O15" s="118" t="s">
        <v>259</v>
      </c>
      <c r="P15" s="119">
        <v>-200</v>
      </c>
    </row>
    <row r="16" spans="2:16" ht="15" thickBot="1" x14ac:dyDescent="0.35">
      <c r="L16" s="20" t="s">
        <v>468</v>
      </c>
      <c r="M16" s="13">
        <f>-M15*(1-0.77)</f>
        <v>-21921.3</v>
      </c>
      <c r="P16" s="27">
        <f>SUM(P4:P15)</f>
        <v>-4470.62</v>
      </c>
    </row>
    <row r="17" spans="2:13" x14ac:dyDescent="0.3">
      <c r="B17" s="8" t="s">
        <v>466</v>
      </c>
      <c r="C17" s="36">
        <f>C20+C22+C24</f>
        <v>74</v>
      </c>
      <c r="D17" s="18"/>
      <c r="E17" s="9"/>
      <c r="F17" s="9"/>
      <c r="G17" s="10"/>
      <c r="L17" s="20" t="s">
        <v>38</v>
      </c>
      <c r="M17" s="13">
        <f>M7*12</f>
        <v>-53647.44</v>
      </c>
    </row>
    <row r="18" spans="2:13" x14ac:dyDescent="0.3">
      <c r="B18" s="11"/>
      <c r="G18" s="12"/>
      <c r="L18" s="20" t="s">
        <v>39</v>
      </c>
      <c r="M18" s="13">
        <f>SUM(M15:M17)</f>
        <v>19741.259999999995</v>
      </c>
    </row>
    <row r="19" spans="2:13" ht="15" thickBot="1" x14ac:dyDescent="0.35">
      <c r="B19" s="11"/>
      <c r="C19" s="3" t="s">
        <v>15</v>
      </c>
      <c r="D19" s="3" t="s">
        <v>16</v>
      </c>
      <c r="E19" s="3" t="s">
        <v>17</v>
      </c>
      <c r="F19" s="3" t="s">
        <v>18</v>
      </c>
      <c r="G19" s="43" t="s">
        <v>20</v>
      </c>
      <c r="L19" s="20" t="s">
        <v>40</v>
      </c>
      <c r="M19" s="13">
        <f>M18*0.25</f>
        <v>4935.3149999999987</v>
      </c>
    </row>
    <row r="20" spans="2:13" ht="15" thickBot="1" x14ac:dyDescent="0.35">
      <c r="B20" s="44" t="s">
        <v>476</v>
      </c>
      <c r="C20" s="1">
        <v>57</v>
      </c>
      <c r="D20" s="1">
        <v>4</v>
      </c>
      <c r="E20" s="1">
        <f t="shared" ref="E20:E26" si="2">C20*D20</f>
        <v>228</v>
      </c>
      <c r="F20" s="4">
        <v>75</v>
      </c>
      <c r="G20" s="13">
        <f t="shared" ref="G20:G26" si="3">C20*F20</f>
        <v>4275</v>
      </c>
      <c r="L20" s="21" t="s">
        <v>49</v>
      </c>
      <c r="M20" s="24">
        <f>M18-M19</f>
        <v>14805.944999999996</v>
      </c>
    </row>
    <row r="21" spans="2:13" x14ac:dyDescent="0.3">
      <c r="B21" s="44" t="s">
        <v>506</v>
      </c>
      <c r="C21" s="1">
        <v>1</v>
      </c>
      <c r="D21" s="1">
        <v>4</v>
      </c>
      <c r="E21" s="1">
        <f t="shared" si="2"/>
        <v>4</v>
      </c>
      <c r="F21" s="4">
        <v>37.5</v>
      </c>
      <c r="G21" s="13">
        <f t="shared" si="3"/>
        <v>37.5</v>
      </c>
    </row>
    <row r="22" spans="2:13" x14ac:dyDescent="0.3">
      <c r="B22" s="44" t="s">
        <v>477</v>
      </c>
      <c r="C22" s="1">
        <v>15</v>
      </c>
      <c r="D22" s="1">
        <v>8</v>
      </c>
      <c r="E22" s="1">
        <f t="shared" si="2"/>
        <v>120</v>
      </c>
      <c r="F22" s="4">
        <v>140</v>
      </c>
      <c r="G22" s="13">
        <f t="shared" si="3"/>
        <v>2100</v>
      </c>
    </row>
    <row r="23" spans="2:13" ht="15" thickBot="1" x14ac:dyDescent="0.35">
      <c r="B23" s="44" t="s">
        <v>507</v>
      </c>
      <c r="C23" s="1">
        <v>1</v>
      </c>
      <c r="D23" s="1">
        <v>8</v>
      </c>
      <c r="E23" s="1">
        <f t="shared" si="2"/>
        <v>8</v>
      </c>
      <c r="F23" s="4">
        <v>70</v>
      </c>
      <c r="G23" s="13">
        <f t="shared" si="3"/>
        <v>70</v>
      </c>
    </row>
    <row r="24" spans="2:13" x14ac:dyDescent="0.3">
      <c r="B24" s="44" t="s">
        <v>508</v>
      </c>
      <c r="C24" s="1">
        <v>2</v>
      </c>
      <c r="D24" s="1">
        <v>12</v>
      </c>
      <c r="E24" s="1">
        <f t="shared" si="2"/>
        <v>24</v>
      </c>
      <c r="F24" s="4">
        <v>180</v>
      </c>
      <c r="G24" s="13">
        <f t="shared" si="3"/>
        <v>360</v>
      </c>
      <c r="L24" s="23" t="s">
        <v>48</v>
      </c>
      <c r="M24" s="10"/>
    </row>
    <row r="25" spans="2:13" x14ac:dyDescent="0.3">
      <c r="B25" s="44" t="s">
        <v>291</v>
      </c>
      <c r="C25" s="1">
        <v>20</v>
      </c>
      <c r="D25" s="1">
        <v>2</v>
      </c>
      <c r="E25" s="1">
        <f t="shared" si="2"/>
        <v>40</v>
      </c>
      <c r="F25" s="4">
        <v>25</v>
      </c>
      <c r="G25" s="13">
        <f t="shared" si="3"/>
        <v>500</v>
      </c>
      <c r="L25" s="11"/>
      <c r="M25" s="12"/>
    </row>
    <row r="26" spans="2:13" x14ac:dyDescent="0.3">
      <c r="B26" s="44" t="s">
        <v>478</v>
      </c>
      <c r="C26" s="1">
        <v>60</v>
      </c>
      <c r="D26" s="1">
        <v>1</v>
      </c>
      <c r="E26" s="1">
        <f t="shared" si="2"/>
        <v>60</v>
      </c>
      <c r="F26" s="4">
        <v>10</v>
      </c>
      <c r="G26" s="13">
        <f t="shared" si="3"/>
        <v>600</v>
      </c>
      <c r="L26" s="20" t="s">
        <v>49</v>
      </c>
      <c r="M26" s="13">
        <f>M20</f>
        <v>14805.944999999996</v>
      </c>
    </row>
    <row r="27" spans="2:13" ht="15" thickBot="1" x14ac:dyDescent="0.35">
      <c r="B27" s="11"/>
      <c r="E27" s="3">
        <f>SUM(E20:E26)</f>
        <v>484</v>
      </c>
      <c r="G27" s="14">
        <f>SUM(G20:G26)</f>
        <v>7942.5</v>
      </c>
      <c r="H27" s="6">
        <f>G27/1.21</f>
        <v>6564.0495867768595</v>
      </c>
      <c r="L27" s="20" t="s">
        <v>50</v>
      </c>
      <c r="M27" s="13">
        <f>M26*(1-20%)</f>
        <v>11844.755999999998</v>
      </c>
    </row>
    <row r="28" spans="2:13" ht="15" thickBot="1" x14ac:dyDescent="0.35">
      <c r="B28" s="15"/>
      <c r="C28" s="16"/>
      <c r="D28" s="16"/>
      <c r="E28" s="19">
        <f>484/640</f>
        <v>0.75624999999999998</v>
      </c>
      <c r="F28" s="16"/>
      <c r="G28" s="17"/>
      <c r="L28" s="20" t="s">
        <v>51</v>
      </c>
      <c r="M28" s="24">
        <f>M$27*0.25</f>
        <v>2961.1889999999994</v>
      </c>
    </row>
    <row r="29" spans="2:13" ht="15" thickBot="1" x14ac:dyDescent="0.35">
      <c r="L29" s="11" t="s">
        <v>52</v>
      </c>
      <c r="M29" s="24">
        <f>M$27*0.25</f>
        <v>2961.1889999999994</v>
      </c>
    </row>
    <row r="30" spans="2:13" ht="15" thickBot="1" x14ac:dyDescent="0.35">
      <c r="L30" s="11" t="s">
        <v>53</v>
      </c>
      <c r="M30" s="24">
        <f>M$27*0.25</f>
        <v>2961.1889999999994</v>
      </c>
    </row>
    <row r="31" spans="2:13" ht="15" thickBot="1" x14ac:dyDescent="0.35">
      <c r="B31" s="3" t="s">
        <v>42</v>
      </c>
      <c r="C31" s="3"/>
      <c r="H31" s="4"/>
      <c r="L31" s="15" t="s">
        <v>54</v>
      </c>
      <c r="M31" s="24">
        <f>M$27*0.25</f>
        <v>2961.1889999999994</v>
      </c>
    </row>
    <row r="32" spans="2:13" x14ac:dyDescent="0.3">
      <c r="B32" s="1" t="s">
        <v>480</v>
      </c>
      <c r="C32" s="4">
        <v>5620</v>
      </c>
    </row>
    <row r="33" spans="2:9" x14ac:dyDescent="0.3">
      <c r="B33" s="1" t="s">
        <v>479</v>
      </c>
      <c r="C33" s="4">
        <v>-975</v>
      </c>
      <c r="I33" s="3"/>
    </row>
    <row r="34" spans="2:9" x14ac:dyDescent="0.3">
      <c r="B34" s="1" t="s">
        <v>481</v>
      </c>
      <c r="C34" s="4">
        <f>C32+C33</f>
        <v>4645</v>
      </c>
      <c r="I34" s="6"/>
    </row>
    <row r="35" spans="2:9" x14ac:dyDescent="0.3">
      <c r="B35" s="1" t="s">
        <v>482</v>
      </c>
      <c r="C35" s="4">
        <v>-4411</v>
      </c>
      <c r="I35" s="6"/>
    </row>
    <row r="36" spans="2:9" x14ac:dyDescent="0.3">
      <c r="B36" s="1" t="s">
        <v>483</v>
      </c>
      <c r="C36" s="6">
        <f>C34+C35</f>
        <v>234</v>
      </c>
      <c r="I36" s="6"/>
    </row>
    <row r="39" spans="2:9" x14ac:dyDescent="0.3">
      <c r="B39" s="2"/>
    </row>
  </sheetData>
  <mergeCells count="1">
    <mergeCell ref="O2:P2"/>
  </mergeCells>
  <pageMargins left="0.7" right="0.7" top="0.75" bottom="0.75" header="0.3" footer="0.3"/>
  <ignoredErrors>
    <ignoredError sqref="M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8FA9-55DA-4F90-B3E0-12445506C754}">
  <dimension ref="B2:AH58"/>
  <sheetViews>
    <sheetView topLeftCell="A3" zoomScaleNormal="100" workbookViewId="0">
      <selection activeCell="I17" sqref="I17"/>
    </sheetView>
  </sheetViews>
  <sheetFormatPr baseColWidth="10" defaultRowHeight="14.4" x14ac:dyDescent="0.3"/>
  <cols>
    <col min="1" max="1" width="11.5546875" style="32"/>
    <col min="2" max="2" width="13.109375" style="32" bestFit="1" customWidth="1"/>
    <col min="3" max="3" width="21.44140625" style="32" bestFit="1" customWidth="1"/>
    <col min="4" max="4" width="11.5546875" style="32"/>
    <col min="5" max="5" width="12.5546875" style="32" customWidth="1"/>
    <col min="6" max="19" width="11.5546875" style="32"/>
    <col min="20" max="20" width="13.6640625" style="32" bestFit="1" customWidth="1"/>
    <col min="21" max="26" width="11.5546875" style="32"/>
    <col min="27" max="27" width="11.5546875" style="93"/>
    <col min="28" max="29" width="11.5546875" style="32"/>
    <col min="30" max="30" width="13.21875" style="32" customWidth="1"/>
    <col min="31" max="16384" width="11.5546875" style="32"/>
  </cols>
  <sheetData>
    <row r="2" spans="2:33" x14ac:dyDescent="0.3">
      <c r="B2" s="148" t="s">
        <v>463</v>
      </c>
      <c r="H2" s="3" t="s">
        <v>23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31</v>
      </c>
      <c r="O2" s="2"/>
      <c r="P2" s="1"/>
      <c r="T2" s="148" t="s">
        <v>463</v>
      </c>
    </row>
    <row r="3" spans="2:33" ht="15" thickBot="1" x14ac:dyDescent="0.35">
      <c r="H3" s="1" t="s">
        <v>454</v>
      </c>
      <c r="I3" s="1"/>
      <c r="J3" s="1">
        <v>5</v>
      </c>
      <c r="K3" s="1"/>
      <c r="L3" s="1">
        <v>5</v>
      </c>
      <c r="M3" s="1">
        <v>5</v>
      </c>
      <c r="N3" s="1"/>
      <c r="O3" s="1">
        <f>SUM(I3:N3)</f>
        <v>15</v>
      </c>
      <c r="P3" s="2"/>
      <c r="AD3" s="32" t="s">
        <v>491</v>
      </c>
      <c r="AE3" s="33">
        <v>2600</v>
      </c>
      <c r="AF3" s="32">
        <f>32*4</f>
        <v>128</v>
      </c>
      <c r="AG3" s="149">
        <f>AE3/AF3</f>
        <v>20.3125</v>
      </c>
    </row>
    <row r="4" spans="2:33" ht="15" thickBot="1" x14ac:dyDescent="0.35">
      <c r="B4" s="146" t="s">
        <v>464</v>
      </c>
      <c r="C4" s="32" t="s">
        <v>462</v>
      </c>
      <c r="D4" s="32" t="s">
        <v>461</v>
      </c>
      <c r="E4" s="32" t="s">
        <v>461</v>
      </c>
      <c r="H4" s="1" t="s">
        <v>232</v>
      </c>
      <c r="I4" s="1"/>
      <c r="J4" s="1">
        <v>5</v>
      </c>
      <c r="K4" s="1"/>
      <c r="L4" s="1">
        <v>5</v>
      </c>
      <c r="M4" s="1">
        <v>5</v>
      </c>
      <c r="N4" s="1"/>
      <c r="O4" s="1">
        <f t="shared" ref="O4:O12" si="0">SUM(I4:N4)</f>
        <v>15</v>
      </c>
      <c r="P4" s="2"/>
      <c r="T4" s="146" t="s">
        <v>464</v>
      </c>
      <c r="U4" s="32" t="s">
        <v>462</v>
      </c>
      <c r="V4" s="32" t="s">
        <v>462</v>
      </c>
      <c r="W4" s="32" t="s">
        <v>461</v>
      </c>
    </row>
    <row r="5" spans="2:33" x14ac:dyDescent="0.3">
      <c r="B5" s="145" t="s">
        <v>458</v>
      </c>
      <c r="C5" s="32" t="s">
        <v>457</v>
      </c>
      <c r="D5" s="32" t="s">
        <v>459</v>
      </c>
      <c r="E5" s="32" t="s">
        <v>460</v>
      </c>
      <c r="H5" s="1" t="s">
        <v>233</v>
      </c>
      <c r="I5" s="1"/>
      <c r="J5" s="1">
        <v>5</v>
      </c>
      <c r="K5" s="1"/>
      <c r="L5" s="1">
        <v>5</v>
      </c>
      <c r="M5" s="1">
        <v>5</v>
      </c>
      <c r="N5" s="1"/>
      <c r="O5" s="1">
        <f t="shared" si="0"/>
        <v>15</v>
      </c>
      <c r="P5" s="2"/>
      <c r="T5" s="145" t="s">
        <v>458</v>
      </c>
      <c r="U5" s="32" t="s">
        <v>457</v>
      </c>
      <c r="V5" s="32" t="s">
        <v>459</v>
      </c>
      <c r="W5" s="32" t="s">
        <v>460</v>
      </c>
    </row>
    <row r="6" spans="2:33" x14ac:dyDescent="0.3">
      <c r="B6" s="32" t="s">
        <v>455</v>
      </c>
      <c r="C6" s="92">
        <v>13.14</v>
      </c>
      <c r="D6" s="92">
        <v>12.17</v>
      </c>
      <c r="E6" s="92">
        <v>12.17</v>
      </c>
      <c r="H6" s="1" t="s">
        <v>234</v>
      </c>
      <c r="I6" s="1"/>
      <c r="J6" s="1">
        <v>5</v>
      </c>
      <c r="K6" s="1"/>
      <c r="L6" s="1">
        <v>5</v>
      </c>
      <c r="M6" s="1">
        <v>5</v>
      </c>
      <c r="N6" s="1"/>
      <c r="O6" s="1">
        <f t="shared" si="0"/>
        <v>15</v>
      </c>
      <c r="P6" s="2"/>
      <c r="T6" s="32" t="s">
        <v>455</v>
      </c>
      <c r="U6" s="92">
        <v>13.14</v>
      </c>
      <c r="V6" s="92">
        <v>12.17</v>
      </c>
      <c r="W6" s="92">
        <v>12.17</v>
      </c>
      <c r="AD6" s="33">
        <v>20</v>
      </c>
      <c r="AE6" s="46">
        <f>AD6*128</f>
        <v>2560</v>
      </c>
    </row>
    <row r="7" spans="2:33" x14ac:dyDescent="0.3">
      <c r="B7" s="32" t="s">
        <v>228</v>
      </c>
      <c r="C7" s="92">
        <v>14.06</v>
      </c>
      <c r="D7" s="92">
        <v>13.02</v>
      </c>
      <c r="E7" s="92">
        <v>13.02</v>
      </c>
      <c r="H7" s="1" t="s">
        <v>235</v>
      </c>
      <c r="I7" s="1"/>
      <c r="J7" s="1"/>
      <c r="K7" s="1"/>
      <c r="L7" s="1"/>
      <c r="M7" s="1"/>
      <c r="N7" s="1"/>
      <c r="O7" s="1">
        <f t="shared" si="0"/>
        <v>0</v>
      </c>
      <c r="P7" s="2"/>
      <c r="T7" s="32" t="s">
        <v>228</v>
      </c>
      <c r="U7" s="92">
        <v>14.06</v>
      </c>
      <c r="V7" s="92">
        <v>13.02</v>
      </c>
      <c r="W7" s="92">
        <v>13.02</v>
      </c>
      <c r="Z7" s="33">
        <v>22</v>
      </c>
      <c r="AA7" s="93" t="s">
        <v>488</v>
      </c>
      <c r="AD7" s="33">
        <v>25</v>
      </c>
      <c r="AE7" s="46">
        <f>AD7*128</f>
        <v>3200</v>
      </c>
    </row>
    <row r="8" spans="2:33" x14ac:dyDescent="0.3">
      <c r="B8" s="32" t="s">
        <v>456</v>
      </c>
      <c r="C8" s="92">
        <v>18.600000000000001</v>
      </c>
      <c r="D8" s="92">
        <v>17.399999999999999</v>
      </c>
      <c r="E8" s="92">
        <v>17.399999999999999</v>
      </c>
      <c r="H8" s="1" t="s">
        <v>221</v>
      </c>
      <c r="I8" s="1"/>
      <c r="J8" s="1"/>
      <c r="K8" s="1"/>
      <c r="L8" s="1"/>
      <c r="M8" s="1"/>
      <c r="N8" s="1"/>
      <c r="O8" s="1">
        <f t="shared" si="0"/>
        <v>0</v>
      </c>
      <c r="P8" s="2"/>
      <c r="T8" s="32" t="s">
        <v>456</v>
      </c>
      <c r="U8" s="92">
        <v>18.600000000000001</v>
      </c>
      <c r="V8" s="92">
        <v>17.399999999999999</v>
      </c>
      <c r="W8" s="92">
        <v>17.399999999999999</v>
      </c>
      <c r="Z8" s="33">
        <f>Z7*16*4</f>
        <v>1408</v>
      </c>
      <c r="AA8" s="93" t="s">
        <v>489</v>
      </c>
    </row>
    <row r="9" spans="2:33" x14ac:dyDescent="0.3">
      <c r="H9" s="1" t="s">
        <v>236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/>
      <c r="O9" s="1">
        <f t="shared" si="0"/>
        <v>25</v>
      </c>
      <c r="P9" s="1"/>
      <c r="Z9" s="46">
        <f>Z8*1.34</f>
        <v>1886.72</v>
      </c>
      <c r="AA9" s="93" t="s">
        <v>490</v>
      </c>
    </row>
    <row r="10" spans="2:33" x14ac:dyDescent="0.3">
      <c r="B10" s="145" t="s">
        <v>294</v>
      </c>
      <c r="C10" s="32" t="s">
        <v>457</v>
      </c>
      <c r="D10" s="32" t="s">
        <v>459</v>
      </c>
      <c r="E10" s="32" t="s">
        <v>460</v>
      </c>
      <c r="H10" s="1" t="s">
        <v>237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/>
      <c r="O10" s="1">
        <f t="shared" si="0"/>
        <v>25</v>
      </c>
      <c r="P10" s="1"/>
      <c r="T10" s="145" t="s">
        <v>294</v>
      </c>
      <c r="U10" s="32" t="s">
        <v>457</v>
      </c>
      <c r="V10" s="32" t="s">
        <v>459</v>
      </c>
      <c r="W10" s="32" t="s">
        <v>460</v>
      </c>
      <c r="AD10" s="93" t="s">
        <v>492</v>
      </c>
    </row>
    <row r="11" spans="2:33" x14ac:dyDescent="0.3">
      <c r="B11" s="32" t="s">
        <v>455</v>
      </c>
      <c r="C11" s="92">
        <f>C6*16*4</f>
        <v>840.96</v>
      </c>
      <c r="D11" s="92">
        <f t="shared" ref="D11:E13" si="1">D6*8*4</f>
        <v>389.44</v>
      </c>
      <c r="E11" s="92">
        <f t="shared" si="1"/>
        <v>389.44</v>
      </c>
      <c r="H11" s="1" t="s">
        <v>238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/>
      <c r="O11" s="1">
        <f t="shared" si="0"/>
        <v>25</v>
      </c>
      <c r="P11" s="2"/>
      <c r="T11" s="32" t="s">
        <v>455</v>
      </c>
      <c r="U11" s="92">
        <f>U6*16*4</f>
        <v>840.96</v>
      </c>
      <c r="V11" s="92">
        <f t="shared" ref="V11:W13" si="2">V6*8*4</f>
        <v>389.44</v>
      </c>
      <c r="W11" s="92">
        <f t="shared" si="2"/>
        <v>389.44</v>
      </c>
      <c r="Z11" s="33">
        <f>Z8*0.06</f>
        <v>84.47999999999999</v>
      </c>
      <c r="AA11" s="93" t="s">
        <v>487</v>
      </c>
      <c r="AD11" s="32" t="s">
        <v>493</v>
      </c>
      <c r="AE11" s="46">
        <f>25*16*4</f>
        <v>1600</v>
      </c>
    </row>
    <row r="12" spans="2:33" x14ac:dyDescent="0.3">
      <c r="B12" s="32" t="s">
        <v>228</v>
      </c>
      <c r="C12" s="92">
        <f>C7*16*4</f>
        <v>899.84</v>
      </c>
      <c r="D12" s="92">
        <f t="shared" si="1"/>
        <v>416.64</v>
      </c>
      <c r="E12" s="92">
        <f t="shared" si="1"/>
        <v>416.64</v>
      </c>
      <c r="H12" s="1" t="s">
        <v>239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/>
      <c r="O12" s="1">
        <f t="shared" si="0"/>
        <v>25</v>
      </c>
      <c r="P12" s="2"/>
      <c r="T12" s="32" t="s">
        <v>228</v>
      </c>
      <c r="U12" s="92">
        <f>U7*16*4</f>
        <v>899.84</v>
      </c>
      <c r="V12" s="92">
        <f t="shared" si="2"/>
        <v>416.64</v>
      </c>
      <c r="W12" s="92">
        <f t="shared" si="2"/>
        <v>416.64</v>
      </c>
      <c r="Z12" s="33">
        <f>Z8*0.15</f>
        <v>211.2</v>
      </c>
      <c r="AA12" s="93" t="s">
        <v>486</v>
      </c>
      <c r="AD12" s="93" t="s">
        <v>494</v>
      </c>
      <c r="AE12" s="46">
        <f>16*16*4</f>
        <v>1024</v>
      </c>
      <c r="AF12" s="32" t="s">
        <v>495</v>
      </c>
      <c r="AG12" s="38">
        <f>AE12/64</f>
        <v>16</v>
      </c>
    </row>
    <row r="13" spans="2:33" x14ac:dyDescent="0.3">
      <c r="B13" s="32" t="s">
        <v>456</v>
      </c>
      <c r="C13" s="92">
        <f>C8*16*4</f>
        <v>1190.4000000000001</v>
      </c>
      <c r="D13" s="92">
        <f t="shared" si="1"/>
        <v>556.79999999999995</v>
      </c>
      <c r="E13" s="92">
        <f t="shared" si="1"/>
        <v>556.79999999999995</v>
      </c>
      <c r="F13" s="147">
        <f>SUM(C13:E13)</f>
        <v>2304</v>
      </c>
      <c r="H13" s="1"/>
      <c r="I13" s="1">
        <f t="shared" ref="I13:N13" ca="1" si="3">SUM(I3:I14)</f>
        <v>0</v>
      </c>
      <c r="J13" s="1">
        <f t="shared" ca="1" si="3"/>
        <v>40</v>
      </c>
      <c r="K13" s="1">
        <f t="shared" ca="1" si="3"/>
        <v>20</v>
      </c>
      <c r="L13" s="1">
        <f t="shared" ca="1" si="3"/>
        <v>40</v>
      </c>
      <c r="M13" s="1">
        <f t="shared" ca="1" si="3"/>
        <v>40</v>
      </c>
      <c r="N13" s="1">
        <f t="shared" ca="1" si="3"/>
        <v>0</v>
      </c>
      <c r="O13" s="3">
        <f ca="1">SUM(I13:N13)</f>
        <v>160</v>
      </c>
      <c r="P13" s="7" t="s">
        <v>13</v>
      </c>
      <c r="T13" s="32" t="s">
        <v>456</v>
      </c>
      <c r="U13" s="92">
        <f>U8*16*4</f>
        <v>1190.4000000000001</v>
      </c>
      <c r="V13" s="92">
        <f t="shared" si="2"/>
        <v>556.79999999999995</v>
      </c>
      <c r="W13" s="92">
        <f t="shared" si="2"/>
        <v>556.79999999999995</v>
      </c>
      <c r="X13" s="147">
        <f>SUM(U13:W13)</f>
        <v>2304</v>
      </c>
      <c r="Z13" s="33">
        <f>Z8-Z11-Z12</f>
        <v>1112.32</v>
      </c>
      <c r="AD13" s="93" t="s">
        <v>494</v>
      </c>
      <c r="AE13" s="46">
        <f>AE12*0.94</f>
        <v>962.56</v>
      </c>
      <c r="AF13" s="32" t="s">
        <v>496</v>
      </c>
      <c r="AG13" s="38">
        <f>AE13/64</f>
        <v>15.04</v>
      </c>
    </row>
    <row r="14" spans="2:33" x14ac:dyDescent="0.3">
      <c r="B14" s="32" t="s">
        <v>485</v>
      </c>
      <c r="C14" s="92">
        <f>16*4*2.5</f>
        <v>160</v>
      </c>
      <c r="F14" s="147">
        <f>F13+C14+80</f>
        <v>2544</v>
      </c>
      <c r="H14" s="1"/>
      <c r="I14" s="1"/>
      <c r="J14" s="1"/>
      <c r="K14" s="1"/>
      <c r="L14" s="1"/>
      <c r="M14" s="1"/>
      <c r="N14" s="1"/>
      <c r="O14" s="3">
        <f ca="1">O13*4</f>
        <v>640</v>
      </c>
      <c r="P14" s="7" t="s">
        <v>14</v>
      </c>
      <c r="T14" s="32" t="s">
        <v>485</v>
      </c>
      <c r="U14" s="92">
        <f>16*4*2.5</f>
        <v>160</v>
      </c>
      <c r="Z14" s="38">
        <f>Z13/64</f>
        <v>17.38</v>
      </c>
      <c r="AD14" s="93" t="s">
        <v>494</v>
      </c>
      <c r="AE14" s="46">
        <f>AE12*0.85</f>
        <v>870.4</v>
      </c>
      <c r="AF14" s="32" t="s">
        <v>497</v>
      </c>
      <c r="AG14" s="38">
        <f>AE14/64</f>
        <v>13.6</v>
      </c>
    </row>
    <row r="15" spans="2:33" x14ac:dyDescent="0.3">
      <c r="H15" s="1"/>
    </row>
    <row r="16" spans="2:33" ht="15" thickBot="1" x14ac:dyDescent="0.35">
      <c r="C16" s="147">
        <f>C6+2.5</f>
        <v>15.64</v>
      </c>
      <c r="H16" s="1"/>
      <c r="U16" s="147">
        <f>U6+2.5</f>
        <v>15.64</v>
      </c>
    </row>
    <row r="17" spans="2:34" ht="15" thickBot="1" x14ac:dyDescent="0.35">
      <c r="C17" s="92">
        <f>C6*0.85</f>
        <v>11.169</v>
      </c>
      <c r="H17" s="1"/>
      <c r="AD17" s="150" t="s">
        <v>500</v>
      </c>
      <c r="AE17" s="32" t="s">
        <v>502</v>
      </c>
      <c r="AH17" s="34" t="s">
        <v>493</v>
      </c>
    </row>
    <row r="18" spans="2:34" x14ac:dyDescent="0.3">
      <c r="C18" s="147">
        <f>C17+2.5</f>
        <v>13.669</v>
      </c>
      <c r="Z18" s="46">
        <f>Z9*2</f>
        <v>3773.44</v>
      </c>
      <c r="AD18" s="32" t="s">
        <v>498</v>
      </c>
      <c r="AE18" s="46">
        <f>18.5*16*4</f>
        <v>1184</v>
      </c>
      <c r="AF18" s="34" t="s">
        <v>503</v>
      </c>
      <c r="AG18" s="149"/>
      <c r="AH18" s="34" t="s">
        <v>501</v>
      </c>
    </row>
    <row r="19" spans="2:34" x14ac:dyDescent="0.3">
      <c r="Z19" s="38">
        <f>Z18/128</f>
        <v>29.48</v>
      </c>
      <c r="AD19" s="32" t="s">
        <v>499</v>
      </c>
      <c r="AE19" s="46">
        <f>-AE18*0.06</f>
        <v>-71.039999999999992</v>
      </c>
    </row>
    <row r="22" spans="2:34" x14ac:dyDescent="0.3">
      <c r="B22" s="148" t="s">
        <v>463</v>
      </c>
      <c r="C22" s="34" t="s">
        <v>518</v>
      </c>
    </row>
    <row r="23" spans="2:34" ht="15" thickBot="1" x14ac:dyDescent="0.35">
      <c r="C23" s="33">
        <v>27000</v>
      </c>
      <c r="D23" s="33">
        <v>25000</v>
      </c>
      <c r="E23" s="33">
        <v>30000</v>
      </c>
      <c r="L23" s="32" t="s">
        <v>509</v>
      </c>
    </row>
    <row r="24" spans="2:34" ht="15" thickBot="1" x14ac:dyDescent="0.35">
      <c r="B24" s="146" t="s">
        <v>464</v>
      </c>
      <c r="C24" s="32" t="s">
        <v>462</v>
      </c>
      <c r="D24" s="32" t="s">
        <v>461</v>
      </c>
      <c r="E24" s="32" t="s">
        <v>461</v>
      </c>
      <c r="L24" s="151">
        <v>4.7E-2</v>
      </c>
      <c r="M24" s="32" t="s">
        <v>510</v>
      </c>
    </row>
    <row r="25" spans="2:34" x14ac:dyDescent="0.3">
      <c r="B25" s="145" t="s">
        <v>458</v>
      </c>
      <c r="C25" s="32" t="s">
        <v>457</v>
      </c>
      <c r="D25" s="32" t="s">
        <v>459</v>
      </c>
      <c r="E25" s="32" t="s">
        <v>516</v>
      </c>
      <c r="L25" s="151">
        <v>1.5E-3</v>
      </c>
      <c r="M25" s="32" t="s">
        <v>511</v>
      </c>
    </row>
    <row r="26" spans="2:34" x14ac:dyDescent="0.3">
      <c r="B26" s="32" t="s">
        <v>455</v>
      </c>
      <c r="C26" s="92">
        <v>13.14</v>
      </c>
      <c r="D26" s="92">
        <v>12.17</v>
      </c>
      <c r="E26" s="92">
        <f>E31/32</f>
        <v>14.296875</v>
      </c>
      <c r="L26" s="151">
        <v>1E-3</v>
      </c>
      <c r="M26" s="32" t="s">
        <v>512</v>
      </c>
    </row>
    <row r="27" spans="2:34" x14ac:dyDescent="0.3">
      <c r="B27" s="32" t="s">
        <v>228</v>
      </c>
      <c r="C27" s="92">
        <v>14.06</v>
      </c>
      <c r="D27" s="92">
        <v>13.02</v>
      </c>
      <c r="E27" s="92">
        <f>E32/32</f>
        <v>15.625</v>
      </c>
      <c r="L27" s="151">
        <v>1.55E-2</v>
      </c>
      <c r="M27" s="32" t="s">
        <v>513</v>
      </c>
    </row>
    <row r="28" spans="2:34" x14ac:dyDescent="0.3">
      <c r="B28" s="32" t="s">
        <v>456</v>
      </c>
      <c r="C28" s="92">
        <v>18.600000000000001</v>
      </c>
      <c r="D28" s="92">
        <v>17.399999999999999</v>
      </c>
      <c r="E28" s="92">
        <f>E33/32</f>
        <v>20.46875</v>
      </c>
      <c r="L28" s="152">
        <v>0.02</v>
      </c>
      <c r="M28" s="32" t="s">
        <v>514</v>
      </c>
    </row>
    <row r="29" spans="2:34" x14ac:dyDescent="0.3">
      <c r="L29" s="153">
        <f>SUM(L24:L28)</f>
        <v>8.5000000000000006E-2</v>
      </c>
      <c r="M29" s="34" t="s">
        <v>515</v>
      </c>
    </row>
    <row r="30" spans="2:34" x14ac:dyDescent="0.3">
      <c r="B30" s="145" t="s">
        <v>294</v>
      </c>
      <c r="C30" s="32" t="s">
        <v>457</v>
      </c>
      <c r="D30" s="32" t="s">
        <v>459</v>
      </c>
      <c r="E30" s="32" t="s">
        <v>516</v>
      </c>
    </row>
    <row r="31" spans="2:34" x14ac:dyDescent="0.3">
      <c r="B31" s="32" t="s">
        <v>455</v>
      </c>
      <c r="C31" s="92">
        <f>C26*16*4</f>
        <v>840.96</v>
      </c>
      <c r="D31" s="92">
        <f>D26*8*4</f>
        <v>389.44</v>
      </c>
      <c r="E31" s="92">
        <v>457.5</v>
      </c>
    </row>
    <row r="32" spans="2:34" x14ac:dyDescent="0.3">
      <c r="B32" s="32" t="s">
        <v>228</v>
      </c>
      <c r="C32" s="92">
        <f>C27*16*4</f>
        <v>899.84</v>
      </c>
      <c r="D32" s="92">
        <f>D27*8*4</f>
        <v>416.64</v>
      </c>
      <c r="E32" s="92">
        <v>500</v>
      </c>
      <c r="H32" s="147">
        <f>E32*30/8</f>
        <v>1875</v>
      </c>
      <c r="I32" s="32" t="s">
        <v>517</v>
      </c>
    </row>
    <row r="33" spans="2:6" x14ac:dyDescent="0.3">
      <c r="B33" s="32" t="s">
        <v>456</v>
      </c>
      <c r="C33" s="92">
        <f>C28*16*4</f>
        <v>1190.4000000000001</v>
      </c>
      <c r="D33" s="92">
        <f>D28*8*4</f>
        <v>556.79999999999995</v>
      </c>
      <c r="E33" s="92">
        <v>655</v>
      </c>
      <c r="F33" s="147">
        <f>SUM(C33:E33)</f>
        <v>2402.1999999999998</v>
      </c>
    </row>
    <row r="34" spans="2:6" x14ac:dyDescent="0.3">
      <c r="B34" s="32" t="s">
        <v>485</v>
      </c>
      <c r="C34" s="92">
        <f>16*4*2.5</f>
        <v>160</v>
      </c>
      <c r="F34" s="147">
        <f>F33+C34+80</f>
        <v>2642.2</v>
      </c>
    </row>
    <row r="36" spans="2:6" x14ac:dyDescent="0.3">
      <c r="B36" s="32" t="s">
        <v>519</v>
      </c>
      <c r="C36" s="147">
        <f>C26+2.5</f>
        <v>15.64</v>
      </c>
      <c r="D36" s="147">
        <f>D26+4</f>
        <v>16.170000000000002</v>
      </c>
      <c r="E36" s="147">
        <f>E26</f>
        <v>14.296875</v>
      </c>
    </row>
    <row r="37" spans="2:6" x14ac:dyDescent="0.3">
      <c r="C37" s="92">
        <f>C26*0.85</f>
        <v>11.169</v>
      </c>
    </row>
    <row r="38" spans="2:6" x14ac:dyDescent="0.3">
      <c r="C38" s="147">
        <f>C37+2.5</f>
        <v>13.669</v>
      </c>
    </row>
    <row r="42" spans="2:6" x14ac:dyDescent="0.3">
      <c r="B42" s="148" t="s">
        <v>463</v>
      </c>
      <c r="C42" s="34" t="s">
        <v>520</v>
      </c>
    </row>
    <row r="43" spans="2:6" ht="15" thickBot="1" x14ac:dyDescent="0.35">
      <c r="C43" s="33">
        <v>27000</v>
      </c>
      <c r="D43" s="33">
        <v>30000</v>
      </c>
    </row>
    <row r="44" spans="2:6" ht="15" thickBot="1" x14ac:dyDescent="0.35">
      <c r="B44" s="146" t="s">
        <v>464</v>
      </c>
      <c r="C44" s="32" t="s">
        <v>462</v>
      </c>
      <c r="D44" s="32" t="s">
        <v>462</v>
      </c>
    </row>
    <row r="45" spans="2:6" x14ac:dyDescent="0.3">
      <c r="B45" s="145" t="s">
        <v>458</v>
      </c>
      <c r="C45" s="32" t="s">
        <v>457</v>
      </c>
      <c r="D45" s="32" t="s">
        <v>521</v>
      </c>
    </row>
    <row r="46" spans="2:6" x14ac:dyDescent="0.3">
      <c r="B46" s="32" t="s">
        <v>455</v>
      </c>
      <c r="C46" s="92">
        <v>13.14</v>
      </c>
      <c r="D46" s="92">
        <f>D51/64</f>
        <v>14.296875</v>
      </c>
    </row>
    <row r="47" spans="2:6" x14ac:dyDescent="0.3">
      <c r="B47" s="32" t="s">
        <v>228</v>
      </c>
      <c r="C47" s="92">
        <v>14.06</v>
      </c>
      <c r="D47" s="92">
        <f>D52/64</f>
        <v>15.625</v>
      </c>
    </row>
    <row r="48" spans="2:6" x14ac:dyDescent="0.3">
      <c r="B48" s="32" t="s">
        <v>456</v>
      </c>
      <c r="C48" s="92">
        <v>18.600000000000001</v>
      </c>
      <c r="D48" s="92">
        <f>D53/64</f>
        <v>20.46875</v>
      </c>
    </row>
    <row r="50" spans="2:7" x14ac:dyDescent="0.3">
      <c r="B50" s="145" t="s">
        <v>294</v>
      </c>
      <c r="C50" s="32" t="s">
        <v>457</v>
      </c>
      <c r="D50" s="32" t="s">
        <v>521</v>
      </c>
    </row>
    <row r="51" spans="2:7" x14ac:dyDescent="0.3">
      <c r="B51" s="32" t="s">
        <v>455</v>
      </c>
      <c r="C51" s="92">
        <f>C46*16*4</f>
        <v>840.96</v>
      </c>
      <c r="D51" s="92">
        <v>915</v>
      </c>
    </row>
    <row r="52" spans="2:7" x14ac:dyDescent="0.3">
      <c r="B52" s="32" t="s">
        <v>228</v>
      </c>
      <c r="C52" s="92">
        <f>C47*16*4</f>
        <v>899.84</v>
      </c>
      <c r="D52" s="92">
        <v>1000</v>
      </c>
      <c r="G52" s="92">
        <f>30*1000/16</f>
        <v>1875</v>
      </c>
    </row>
    <row r="53" spans="2:7" x14ac:dyDescent="0.3">
      <c r="B53" s="32" t="s">
        <v>456</v>
      </c>
      <c r="C53" s="92">
        <f>C48*16*4</f>
        <v>1190.4000000000001</v>
      </c>
      <c r="D53" s="92">
        <v>1310</v>
      </c>
      <c r="E53" s="147">
        <f>SUM(C53:D53)</f>
        <v>2500.4</v>
      </c>
    </row>
    <row r="54" spans="2:7" x14ac:dyDescent="0.3">
      <c r="B54" s="32" t="s">
        <v>485</v>
      </c>
      <c r="C54" s="92">
        <f>16*4*2.5</f>
        <v>160</v>
      </c>
      <c r="E54" s="147">
        <f>E53+C54+80</f>
        <v>2740.4</v>
      </c>
    </row>
    <row r="56" spans="2:7" x14ac:dyDescent="0.3">
      <c r="B56" s="32" t="s">
        <v>519</v>
      </c>
      <c r="C56" s="147">
        <f>C46+2.5</f>
        <v>15.64</v>
      </c>
      <c r="D56" s="147">
        <f>D46</f>
        <v>14.296875</v>
      </c>
    </row>
    <row r="57" spans="2:7" x14ac:dyDescent="0.3">
      <c r="C57" s="92">
        <f>C46*0.85</f>
        <v>11.169</v>
      </c>
    </row>
    <row r="58" spans="2:7" x14ac:dyDescent="0.3">
      <c r="C58" s="147">
        <f>C57+2.5</f>
        <v>13.669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E09B-434B-42F2-80CC-D87108C3FBEE}">
  <dimension ref="B2:Z52"/>
  <sheetViews>
    <sheetView tabSelected="1" topLeftCell="A4" workbookViewId="0">
      <selection activeCell="G29" sqref="G29"/>
    </sheetView>
  </sheetViews>
  <sheetFormatPr baseColWidth="10" defaultColWidth="13" defaultRowHeight="14.4" x14ac:dyDescent="0.3"/>
  <cols>
    <col min="1" max="1" width="3.6640625" style="32" customWidth="1"/>
    <col min="2" max="2" width="12.44140625" style="32" customWidth="1"/>
    <col min="3" max="4" width="13" style="32"/>
    <col min="5" max="14" width="9.44140625" style="32" customWidth="1"/>
    <col min="15" max="25" width="9.6640625" style="32" customWidth="1"/>
    <col min="26" max="16384" width="13" style="32"/>
  </cols>
  <sheetData>
    <row r="2" spans="2:26" ht="15" thickBot="1" x14ac:dyDescent="0.35">
      <c r="E2" s="32">
        <f>SUM(E5:E49)</f>
        <v>5</v>
      </c>
      <c r="F2" s="32">
        <f t="shared" ref="F2:N2" si="0">SUM(F5:F49)</f>
        <v>116</v>
      </c>
      <c r="G2" s="32">
        <f t="shared" si="0"/>
        <v>2</v>
      </c>
      <c r="H2" s="32">
        <f t="shared" si="0"/>
        <v>35</v>
      </c>
      <c r="I2" s="32">
        <f t="shared" si="0"/>
        <v>4</v>
      </c>
      <c r="J2" s="32">
        <f t="shared" si="0"/>
        <v>4</v>
      </c>
      <c r="K2" s="32">
        <f t="shared" si="0"/>
        <v>1</v>
      </c>
      <c r="L2" s="32">
        <f t="shared" si="0"/>
        <v>135</v>
      </c>
      <c r="M2" s="32">
        <f t="shared" si="0"/>
        <v>44</v>
      </c>
      <c r="N2" s="32">
        <f t="shared" si="0"/>
        <v>206</v>
      </c>
      <c r="O2" s="33">
        <v>37.5</v>
      </c>
      <c r="P2" s="33">
        <v>75</v>
      </c>
      <c r="Q2" s="33">
        <v>70</v>
      </c>
      <c r="R2" s="33">
        <v>140</v>
      </c>
      <c r="S2" s="33">
        <v>180</v>
      </c>
      <c r="T2" s="33">
        <v>90</v>
      </c>
      <c r="U2" s="33">
        <v>170</v>
      </c>
      <c r="V2" s="33">
        <v>25</v>
      </c>
      <c r="W2" s="33">
        <v>20</v>
      </c>
      <c r="X2" s="33">
        <v>11</v>
      </c>
    </row>
    <row r="3" spans="2:26" ht="15" thickBot="1" x14ac:dyDescent="0.35">
      <c r="E3" s="156" t="s">
        <v>447</v>
      </c>
      <c r="F3" s="157"/>
      <c r="G3" s="157"/>
      <c r="H3" s="157"/>
      <c r="I3" s="157"/>
      <c r="J3" s="157"/>
      <c r="K3" s="157"/>
      <c r="L3" s="157"/>
      <c r="M3" s="157"/>
      <c r="N3" s="158"/>
      <c r="O3" s="156" t="s">
        <v>146</v>
      </c>
      <c r="P3" s="157"/>
      <c r="Q3" s="157"/>
      <c r="R3" s="157"/>
      <c r="S3" s="157"/>
      <c r="T3" s="157"/>
      <c r="U3" s="157"/>
      <c r="V3" s="157"/>
      <c r="W3" s="157"/>
      <c r="X3" s="158"/>
      <c r="Y3" s="120">
        <f>SUM(Y5:Y25)</f>
        <v>21698.5</v>
      </c>
    </row>
    <row r="4" spans="2:26" ht="15" thickBot="1" x14ac:dyDescent="0.35">
      <c r="B4" s="96" t="s">
        <v>440</v>
      </c>
      <c r="C4" s="100" t="s">
        <v>441</v>
      </c>
      <c r="D4" s="100" t="s">
        <v>442</v>
      </c>
      <c r="E4" s="96" t="s">
        <v>446</v>
      </c>
      <c r="F4" s="100" t="s">
        <v>443</v>
      </c>
      <c r="G4" s="100" t="s">
        <v>504</v>
      </c>
      <c r="H4" s="100" t="s">
        <v>444</v>
      </c>
      <c r="I4" s="100" t="s">
        <v>505</v>
      </c>
      <c r="J4" s="100" t="s">
        <v>523</v>
      </c>
      <c r="K4" s="100" t="s">
        <v>522</v>
      </c>
      <c r="L4" s="100" t="s">
        <v>445</v>
      </c>
      <c r="M4" s="100" t="s">
        <v>448</v>
      </c>
      <c r="N4" s="101" t="s">
        <v>262</v>
      </c>
      <c r="O4" s="100" t="s">
        <v>446</v>
      </c>
      <c r="P4" s="100" t="s">
        <v>443</v>
      </c>
      <c r="Q4" s="100" t="s">
        <v>504</v>
      </c>
      <c r="R4" s="100" t="s">
        <v>444</v>
      </c>
      <c r="S4" s="100" t="s">
        <v>505</v>
      </c>
      <c r="T4" s="100" t="s">
        <v>523</v>
      </c>
      <c r="U4" s="100" t="s">
        <v>522</v>
      </c>
      <c r="V4" s="100" t="s">
        <v>445</v>
      </c>
      <c r="W4" s="100" t="s">
        <v>448</v>
      </c>
      <c r="X4" s="101" t="s">
        <v>262</v>
      </c>
      <c r="Y4" s="141" t="s">
        <v>37</v>
      </c>
    </row>
    <row r="5" spans="2:26" x14ac:dyDescent="0.3">
      <c r="B5" s="105" t="s">
        <v>297</v>
      </c>
      <c r="C5" s="142" t="s">
        <v>344</v>
      </c>
      <c r="D5" s="142" t="s">
        <v>345</v>
      </c>
      <c r="E5" s="105"/>
      <c r="F5" s="138"/>
      <c r="G5" s="138"/>
      <c r="H5" s="138"/>
      <c r="I5" s="138"/>
      <c r="J5" s="138"/>
      <c r="K5" s="138"/>
      <c r="L5" s="138">
        <v>1</v>
      </c>
      <c r="M5" s="138"/>
      <c r="N5" s="139"/>
      <c r="O5" s="124">
        <f t="shared" ref="O5:O16" si="1">E5*$O$2</f>
        <v>0</v>
      </c>
      <c r="P5" s="124">
        <f t="shared" ref="P5:P16" si="2">F5*$P$2</f>
        <v>0</v>
      </c>
      <c r="Q5" s="124">
        <f t="shared" ref="Q5:Q17" si="3">G5*$Q$2</f>
        <v>0</v>
      </c>
      <c r="R5" s="124">
        <f t="shared" ref="R5:R16" si="4">H5*$R$2</f>
        <v>0</v>
      </c>
      <c r="S5" s="124">
        <f t="shared" ref="S5:S17" si="5">I5*$S$2</f>
        <v>0</v>
      </c>
      <c r="T5" s="124">
        <f>J5*$T$2</f>
        <v>0</v>
      </c>
      <c r="U5" s="124">
        <f>K5*$U$2</f>
        <v>0</v>
      </c>
      <c r="V5" s="124">
        <f>L5*$V$2</f>
        <v>25</v>
      </c>
      <c r="W5" s="124">
        <f>M5*$W$2</f>
        <v>0</v>
      </c>
      <c r="X5" s="143">
        <f>N5*$X$2</f>
        <v>0</v>
      </c>
      <c r="Y5" s="120">
        <f t="shared" ref="Y5:Y22" si="6">SUM(O5:X5)</f>
        <v>25</v>
      </c>
    </row>
    <row r="6" spans="2:26" x14ac:dyDescent="0.3">
      <c r="B6" s="47" t="s">
        <v>298</v>
      </c>
      <c r="C6" s="56" t="s">
        <v>346</v>
      </c>
      <c r="D6" s="56" t="s">
        <v>347</v>
      </c>
      <c r="E6" s="47"/>
      <c r="L6" s="32">
        <v>6</v>
      </c>
      <c r="N6" s="48"/>
      <c r="O6" s="33">
        <f t="shared" si="1"/>
        <v>0</v>
      </c>
      <c r="P6" s="33">
        <f t="shared" si="2"/>
        <v>0</v>
      </c>
      <c r="Q6" s="33">
        <f t="shared" si="3"/>
        <v>0</v>
      </c>
      <c r="R6" s="33">
        <f t="shared" si="4"/>
        <v>0</v>
      </c>
      <c r="S6" s="33">
        <f t="shared" si="5"/>
        <v>0</v>
      </c>
      <c r="T6" s="33">
        <f t="shared" ref="T6:T12" si="7">J6*$T$2</f>
        <v>0</v>
      </c>
      <c r="U6" s="33">
        <f t="shared" ref="U6:U18" si="8">K6*$U$2</f>
        <v>0</v>
      </c>
      <c r="V6" s="33">
        <f t="shared" ref="V6:V12" si="9">L6*$V$2</f>
        <v>150</v>
      </c>
      <c r="W6" s="33">
        <f t="shared" ref="W6:W11" si="10">M6*$W$2</f>
        <v>0</v>
      </c>
      <c r="X6" s="140">
        <f t="shared" ref="X6:X12" si="11">N6*$X$2</f>
        <v>0</v>
      </c>
      <c r="Y6" s="121">
        <f t="shared" si="6"/>
        <v>150</v>
      </c>
    </row>
    <row r="7" spans="2:26" x14ac:dyDescent="0.3">
      <c r="B7" s="47" t="s">
        <v>299</v>
      </c>
      <c r="C7" s="56" t="s">
        <v>348</v>
      </c>
      <c r="D7" s="56" t="s">
        <v>349</v>
      </c>
      <c r="E7" s="47"/>
      <c r="L7" s="32">
        <v>15</v>
      </c>
      <c r="N7" s="48"/>
      <c r="O7" s="33">
        <f t="shared" si="1"/>
        <v>0</v>
      </c>
      <c r="P7" s="33">
        <f t="shared" si="2"/>
        <v>0</v>
      </c>
      <c r="Q7" s="33">
        <f t="shared" si="3"/>
        <v>0</v>
      </c>
      <c r="R7" s="33">
        <f t="shared" si="4"/>
        <v>0</v>
      </c>
      <c r="S7" s="33">
        <f t="shared" si="5"/>
        <v>0</v>
      </c>
      <c r="T7" s="33">
        <f t="shared" si="7"/>
        <v>0</v>
      </c>
      <c r="U7" s="33">
        <f t="shared" si="8"/>
        <v>0</v>
      </c>
      <c r="V7" s="33">
        <f t="shared" si="9"/>
        <v>375</v>
      </c>
      <c r="W7" s="33">
        <f t="shared" si="10"/>
        <v>0</v>
      </c>
      <c r="X7" s="140">
        <f t="shared" si="11"/>
        <v>0</v>
      </c>
      <c r="Y7" s="121">
        <f t="shared" si="6"/>
        <v>375</v>
      </c>
    </row>
    <row r="8" spans="2:26" ht="15" thickBot="1" x14ac:dyDescent="0.35">
      <c r="B8" s="49" t="s">
        <v>300</v>
      </c>
      <c r="C8" s="136" t="s">
        <v>350</v>
      </c>
      <c r="D8" s="136" t="s">
        <v>351</v>
      </c>
      <c r="E8" s="49">
        <v>2</v>
      </c>
      <c r="F8" s="50"/>
      <c r="G8" s="50"/>
      <c r="H8" s="50"/>
      <c r="I8" s="50"/>
      <c r="J8" s="50"/>
      <c r="K8" s="50"/>
      <c r="L8" s="50">
        <v>12</v>
      </c>
      <c r="M8" s="50">
        <v>1</v>
      </c>
      <c r="N8" s="53"/>
      <c r="O8" s="125">
        <f t="shared" si="1"/>
        <v>75</v>
      </c>
      <c r="P8" s="125">
        <f t="shared" si="2"/>
        <v>0</v>
      </c>
      <c r="Q8" s="125">
        <f t="shared" si="3"/>
        <v>0</v>
      </c>
      <c r="R8" s="125">
        <f t="shared" si="4"/>
        <v>0</v>
      </c>
      <c r="S8" s="125">
        <f t="shared" si="5"/>
        <v>0</v>
      </c>
      <c r="T8" s="125">
        <f t="shared" si="7"/>
        <v>0</v>
      </c>
      <c r="U8" s="125">
        <f t="shared" si="8"/>
        <v>0</v>
      </c>
      <c r="V8" s="125">
        <f t="shared" si="9"/>
        <v>300</v>
      </c>
      <c r="W8" s="125">
        <f t="shared" si="10"/>
        <v>20</v>
      </c>
      <c r="X8" s="144">
        <f t="shared" si="11"/>
        <v>0</v>
      </c>
      <c r="Y8" s="122">
        <f t="shared" si="6"/>
        <v>395</v>
      </c>
      <c r="Z8" s="33">
        <f>SUM(Y5:Y8)</f>
        <v>945</v>
      </c>
    </row>
    <row r="9" spans="2:26" x14ac:dyDescent="0.3">
      <c r="B9" s="105" t="s">
        <v>301</v>
      </c>
      <c r="C9" s="142" t="s">
        <v>352</v>
      </c>
      <c r="D9" s="142" t="s">
        <v>353</v>
      </c>
      <c r="E9" s="105"/>
      <c r="F9" s="138">
        <v>1</v>
      </c>
      <c r="G9" s="138"/>
      <c r="H9" s="138"/>
      <c r="I9" s="138"/>
      <c r="J9" s="138"/>
      <c r="K9" s="138"/>
      <c r="L9" s="138">
        <v>19</v>
      </c>
      <c r="M9" s="138">
        <v>4</v>
      </c>
      <c r="N9" s="139"/>
      <c r="O9" s="124">
        <f t="shared" si="1"/>
        <v>0</v>
      </c>
      <c r="P9" s="124">
        <f t="shared" si="2"/>
        <v>75</v>
      </c>
      <c r="Q9" s="124">
        <f t="shared" si="3"/>
        <v>0</v>
      </c>
      <c r="R9" s="124">
        <f t="shared" si="4"/>
        <v>0</v>
      </c>
      <c r="S9" s="124">
        <f t="shared" si="5"/>
        <v>0</v>
      </c>
      <c r="T9" s="124">
        <f>J9*$T$2</f>
        <v>0</v>
      </c>
      <c r="U9" s="124">
        <f t="shared" si="8"/>
        <v>0</v>
      </c>
      <c r="V9" s="124">
        <f t="shared" si="9"/>
        <v>475</v>
      </c>
      <c r="W9" s="124">
        <f t="shared" si="10"/>
        <v>80</v>
      </c>
      <c r="X9" s="143">
        <f>N9*$X$2</f>
        <v>0</v>
      </c>
      <c r="Y9" s="120">
        <f t="shared" si="6"/>
        <v>630</v>
      </c>
    </row>
    <row r="10" spans="2:26" x14ac:dyDescent="0.3">
      <c r="B10" s="47" t="s">
        <v>302</v>
      </c>
      <c r="C10" s="56" t="s">
        <v>354</v>
      </c>
      <c r="D10" s="56" t="s">
        <v>355</v>
      </c>
      <c r="E10" s="47"/>
      <c r="F10" s="32">
        <v>5</v>
      </c>
      <c r="H10" s="32">
        <v>2</v>
      </c>
      <c r="L10" s="32">
        <v>13</v>
      </c>
      <c r="M10" s="32">
        <v>1</v>
      </c>
      <c r="N10" s="48"/>
      <c r="O10" s="33">
        <f t="shared" si="1"/>
        <v>0</v>
      </c>
      <c r="P10" s="33">
        <f t="shared" si="2"/>
        <v>375</v>
      </c>
      <c r="Q10" s="33">
        <f t="shared" si="3"/>
        <v>0</v>
      </c>
      <c r="R10" s="33">
        <f t="shared" si="4"/>
        <v>280</v>
      </c>
      <c r="S10" s="33">
        <f t="shared" si="5"/>
        <v>0</v>
      </c>
      <c r="T10" s="33">
        <f t="shared" si="7"/>
        <v>0</v>
      </c>
      <c r="U10" s="33">
        <f t="shared" si="8"/>
        <v>0</v>
      </c>
      <c r="V10" s="33">
        <f t="shared" si="9"/>
        <v>325</v>
      </c>
      <c r="W10" s="33">
        <f t="shared" si="10"/>
        <v>20</v>
      </c>
      <c r="X10" s="140">
        <f t="shared" si="11"/>
        <v>0</v>
      </c>
      <c r="Y10" s="121">
        <f t="shared" si="6"/>
        <v>1000</v>
      </c>
    </row>
    <row r="11" spans="2:26" x14ac:dyDescent="0.3">
      <c r="B11" s="47" t="s">
        <v>303</v>
      </c>
      <c r="C11" s="56" t="s">
        <v>356</v>
      </c>
      <c r="D11" s="56" t="s">
        <v>357</v>
      </c>
      <c r="E11" s="47"/>
      <c r="F11" s="32">
        <v>3</v>
      </c>
      <c r="H11" s="32">
        <v>1</v>
      </c>
      <c r="L11" s="32">
        <v>9</v>
      </c>
      <c r="M11" s="32">
        <v>1</v>
      </c>
      <c r="N11" s="48">
        <v>15</v>
      </c>
      <c r="O11" s="33">
        <f t="shared" si="1"/>
        <v>0</v>
      </c>
      <c r="P11" s="33">
        <f t="shared" si="2"/>
        <v>225</v>
      </c>
      <c r="Q11" s="33">
        <f t="shared" si="3"/>
        <v>0</v>
      </c>
      <c r="R11" s="33">
        <f t="shared" si="4"/>
        <v>140</v>
      </c>
      <c r="S11" s="33">
        <f t="shared" si="5"/>
        <v>0</v>
      </c>
      <c r="T11" s="33">
        <f t="shared" si="7"/>
        <v>0</v>
      </c>
      <c r="U11" s="33">
        <f t="shared" si="8"/>
        <v>0</v>
      </c>
      <c r="V11" s="33">
        <f t="shared" si="9"/>
        <v>225</v>
      </c>
      <c r="W11" s="33">
        <f t="shared" si="10"/>
        <v>20</v>
      </c>
      <c r="X11" s="140">
        <f t="shared" si="11"/>
        <v>165</v>
      </c>
      <c r="Y11" s="121">
        <f t="shared" si="6"/>
        <v>775</v>
      </c>
    </row>
    <row r="12" spans="2:26" ht="15" thickBot="1" x14ac:dyDescent="0.35">
      <c r="B12" s="49" t="s">
        <v>304</v>
      </c>
      <c r="C12" s="136" t="s">
        <v>358</v>
      </c>
      <c r="D12" s="136" t="s">
        <v>359</v>
      </c>
      <c r="E12" s="49">
        <v>1</v>
      </c>
      <c r="F12" s="50">
        <v>11</v>
      </c>
      <c r="G12" s="50"/>
      <c r="H12" s="50">
        <v>1</v>
      </c>
      <c r="I12" s="50"/>
      <c r="J12" s="50"/>
      <c r="K12" s="50"/>
      <c r="L12" s="50">
        <v>11</v>
      </c>
      <c r="M12" s="50"/>
      <c r="N12" s="53">
        <v>10</v>
      </c>
      <c r="O12" s="125">
        <f t="shared" si="1"/>
        <v>37.5</v>
      </c>
      <c r="P12" s="125">
        <f t="shared" si="2"/>
        <v>825</v>
      </c>
      <c r="Q12" s="125">
        <f t="shared" si="3"/>
        <v>0</v>
      </c>
      <c r="R12" s="125">
        <f t="shared" si="4"/>
        <v>140</v>
      </c>
      <c r="S12" s="125">
        <f t="shared" si="5"/>
        <v>0</v>
      </c>
      <c r="T12" s="125">
        <f t="shared" si="7"/>
        <v>0</v>
      </c>
      <c r="U12" s="125">
        <f t="shared" si="8"/>
        <v>0</v>
      </c>
      <c r="V12" s="125">
        <f t="shared" si="9"/>
        <v>275</v>
      </c>
      <c r="W12" s="125"/>
      <c r="X12" s="140">
        <f t="shared" si="11"/>
        <v>110</v>
      </c>
      <c r="Y12" s="122">
        <f t="shared" si="6"/>
        <v>1387.5</v>
      </c>
      <c r="Z12" s="33">
        <f>SUM(Y9:Y12)</f>
        <v>3792.5</v>
      </c>
    </row>
    <row r="13" spans="2:26" x14ac:dyDescent="0.3">
      <c r="B13" s="105" t="s">
        <v>305</v>
      </c>
      <c r="C13" s="142" t="s">
        <v>360</v>
      </c>
      <c r="D13" s="142" t="s">
        <v>361</v>
      </c>
      <c r="E13" s="105"/>
      <c r="F13" s="138">
        <v>19</v>
      </c>
      <c r="G13" s="138"/>
      <c r="H13" s="138">
        <v>1</v>
      </c>
      <c r="I13" s="138"/>
      <c r="J13" s="138">
        <v>2</v>
      </c>
      <c r="K13" s="138"/>
      <c r="L13" s="138">
        <v>2</v>
      </c>
      <c r="M13" s="138">
        <v>1</v>
      </c>
      <c r="N13" s="139">
        <v>8</v>
      </c>
      <c r="O13" s="124">
        <f t="shared" si="1"/>
        <v>0</v>
      </c>
      <c r="P13" s="124">
        <f t="shared" si="2"/>
        <v>1425</v>
      </c>
      <c r="Q13" s="124">
        <f t="shared" si="3"/>
        <v>0</v>
      </c>
      <c r="R13" s="124">
        <f t="shared" si="4"/>
        <v>140</v>
      </c>
      <c r="S13" s="124">
        <f t="shared" si="5"/>
        <v>0</v>
      </c>
      <c r="T13" s="124">
        <f>J13*$T$2</f>
        <v>180</v>
      </c>
      <c r="U13" s="124">
        <f t="shared" si="8"/>
        <v>0</v>
      </c>
      <c r="V13" s="124">
        <f t="shared" ref="V13:V18" si="12">L13*$V$2</f>
        <v>50</v>
      </c>
      <c r="W13" s="124">
        <f t="shared" ref="W13:W18" si="13">M13*$W$2</f>
        <v>20</v>
      </c>
      <c r="X13" s="143">
        <f t="shared" ref="X13:X18" si="14">N13*$X$2</f>
        <v>88</v>
      </c>
      <c r="Y13" s="120">
        <f t="shared" si="6"/>
        <v>1903</v>
      </c>
    </row>
    <row r="14" spans="2:26" x14ac:dyDescent="0.3">
      <c r="B14" s="47" t="s">
        <v>306</v>
      </c>
      <c r="C14" s="56" t="s">
        <v>362</v>
      </c>
      <c r="D14" s="56" t="s">
        <v>363</v>
      </c>
      <c r="E14" s="47"/>
      <c r="F14" s="32">
        <v>5</v>
      </c>
      <c r="G14" s="32">
        <v>1</v>
      </c>
      <c r="H14" s="32">
        <v>4</v>
      </c>
      <c r="J14" s="32">
        <v>1</v>
      </c>
      <c r="L14" s="32">
        <v>18</v>
      </c>
      <c r="M14" s="32">
        <v>2</v>
      </c>
      <c r="N14" s="48">
        <v>20</v>
      </c>
      <c r="O14" s="33">
        <f t="shared" si="1"/>
        <v>0</v>
      </c>
      <c r="P14" s="33">
        <f t="shared" si="2"/>
        <v>375</v>
      </c>
      <c r="Q14" s="33">
        <f t="shared" si="3"/>
        <v>70</v>
      </c>
      <c r="R14" s="33">
        <f t="shared" si="4"/>
        <v>560</v>
      </c>
      <c r="S14" s="33">
        <f t="shared" si="5"/>
        <v>0</v>
      </c>
      <c r="T14" s="33">
        <f t="shared" ref="T14:T17" si="15">J14*$T$2</f>
        <v>90</v>
      </c>
      <c r="U14" s="33">
        <f t="shared" si="8"/>
        <v>0</v>
      </c>
      <c r="V14" s="33">
        <f t="shared" si="12"/>
        <v>450</v>
      </c>
      <c r="W14" s="33">
        <f t="shared" si="13"/>
        <v>40</v>
      </c>
      <c r="X14" s="140">
        <f t="shared" si="14"/>
        <v>220</v>
      </c>
      <c r="Y14" s="121">
        <f t="shared" si="6"/>
        <v>1805</v>
      </c>
    </row>
    <row r="15" spans="2:26" x14ac:dyDescent="0.3">
      <c r="B15" s="47" t="s">
        <v>307</v>
      </c>
      <c r="C15" s="56" t="s">
        <v>364</v>
      </c>
      <c r="D15" s="56" t="s">
        <v>365</v>
      </c>
      <c r="E15" s="47"/>
      <c r="F15" s="32">
        <v>15</v>
      </c>
      <c r="H15" s="32">
        <v>4</v>
      </c>
      <c r="L15" s="32">
        <v>2</v>
      </c>
      <c r="M15" s="32">
        <v>3</v>
      </c>
      <c r="N15" s="48">
        <v>13</v>
      </c>
      <c r="O15" s="33">
        <f t="shared" si="1"/>
        <v>0</v>
      </c>
      <c r="P15" s="33">
        <f t="shared" si="2"/>
        <v>1125</v>
      </c>
      <c r="Q15" s="33">
        <f t="shared" si="3"/>
        <v>0</v>
      </c>
      <c r="R15" s="33">
        <f t="shared" si="4"/>
        <v>560</v>
      </c>
      <c r="S15" s="33">
        <f t="shared" si="5"/>
        <v>0</v>
      </c>
      <c r="T15" s="33">
        <f t="shared" si="15"/>
        <v>0</v>
      </c>
      <c r="U15" s="33">
        <f t="shared" si="8"/>
        <v>0</v>
      </c>
      <c r="V15" s="33">
        <f t="shared" si="12"/>
        <v>50</v>
      </c>
      <c r="W15" s="33">
        <f t="shared" si="13"/>
        <v>60</v>
      </c>
      <c r="X15" s="140">
        <f t="shared" si="14"/>
        <v>143</v>
      </c>
      <c r="Y15" s="121">
        <f t="shared" si="6"/>
        <v>1938</v>
      </c>
    </row>
    <row r="16" spans="2:26" x14ac:dyDescent="0.3">
      <c r="B16" s="47" t="s">
        <v>308</v>
      </c>
      <c r="C16" s="56" t="s">
        <v>366</v>
      </c>
      <c r="D16" s="56" t="s">
        <v>367</v>
      </c>
      <c r="E16" s="47"/>
      <c r="F16" s="32">
        <v>5</v>
      </c>
      <c r="H16" s="32">
        <v>1</v>
      </c>
      <c r="I16" s="32">
        <v>1</v>
      </c>
      <c r="L16" s="32">
        <v>6</v>
      </c>
      <c r="M16" s="32">
        <v>3</v>
      </c>
      <c r="N16" s="48">
        <v>17</v>
      </c>
      <c r="O16" s="33">
        <f t="shared" si="1"/>
        <v>0</v>
      </c>
      <c r="P16" s="33">
        <f t="shared" si="2"/>
        <v>375</v>
      </c>
      <c r="Q16" s="33">
        <f t="shared" si="3"/>
        <v>0</v>
      </c>
      <c r="R16" s="33">
        <f t="shared" si="4"/>
        <v>140</v>
      </c>
      <c r="S16" s="33">
        <f t="shared" si="5"/>
        <v>180</v>
      </c>
      <c r="T16" s="33">
        <f t="shared" si="15"/>
        <v>0</v>
      </c>
      <c r="U16" s="33">
        <f t="shared" si="8"/>
        <v>0</v>
      </c>
      <c r="V16" s="33">
        <f t="shared" si="12"/>
        <v>150</v>
      </c>
      <c r="W16" s="33">
        <f t="shared" si="13"/>
        <v>60</v>
      </c>
      <c r="X16" s="140">
        <f t="shared" si="14"/>
        <v>187</v>
      </c>
      <c r="Y16" s="121">
        <f t="shared" si="6"/>
        <v>1092</v>
      </c>
    </row>
    <row r="17" spans="2:26" ht="15" thickBot="1" x14ac:dyDescent="0.35">
      <c r="B17" s="49" t="s">
        <v>309</v>
      </c>
      <c r="C17" s="136" t="s">
        <v>368</v>
      </c>
      <c r="D17" s="136" t="s">
        <v>369</v>
      </c>
      <c r="E17" s="49">
        <v>1</v>
      </c>
      <c r="F17" s="50">
        <v>7</v>
      </c>
      <c r="G17" s="50"/>
      <c r="H17" s="50">
        <v>4</v>
      </c>
      <c r="I17" s="50">
        <v>1</v>
      </c>
      <c r="J17" s="50"/>
      <c r="K17" s="50"/>
      <c r="L17" s="50">
        <v>4</v>
      </c>
      <c r="M17" s="50">
        <v>4</v>
      </c>
      <c r="N17" s="53">
        <v>18</v>
      </c>
      <c r="O17" s="33">
        <f>E17*$O$2</f>
        <v>37.5</v>
      </c>
      <c r="P17" s="33">
        <f>F17*$P$2</f>
        <v>525</v>
      </c>
      <c r="Q17" s="33">
        <f t="shared" si="3"/>
        <v>0</v>
      </c>
      <c r="R17" s="33">
        <f>H17*$R$2</f>
        <v>560</v>
      </c>
      <c r="S17" s="33">
        <f t="shared" si="5"/>
        <v>180</v>
      </c>
      <c r="T17" s="33">
        <f t="shared" si="15"/>
        <v>0</v>
      </c>
      <c r="U17" s="33">
        <f>K17*$U$2</f>
        <v>0</v>
      </c>
      <c r="V17" s="33">
        <f t="shared" si="12"/>
        <v>100</v>
      </c>
      <c r="W17" s="33">
        <f t="shared" si="13"/>
        <v>80</v>
      </c>
      <c r="X17" s="140">
        <f t="shared" si="14"/>
        <v>198</v>
      </c>
      <c r="Y17" s="122">
        <f t="shared" si="6"/>
        <v>1680.5</v>
      </c>
      <c r="Z17" s="33">
        <f>SUM(Y13:Y17)</f>
        <v>8418.5</v>
      </c>
    </row>
    <row r="18" spans="2:26" x14ac:dyDescent="0.3">
      <c r="B18" s="105" t="s">
        <v>310</v>
      </c>
      <c r="C18" s="142" t="s">
        <v>370</v>
      </c>
      <c r="D18" s="142" t="s">
        <v>371</v>
      </c>
      <c r="E18" s="105"/>
      <c r="F18" s="138">
        <v>23</v>
      </c>
      <c r="G18" s="138">
        <v>1</v>
      </c>
      <c r="H18" s="138">
        <v>5</v>
      </c>
      <c r="I18" s="138">
        <v>1</v>
      </c>
      <c r="J18" s="138">
        <v>1</v>
      </c>
      <c r="K18" s="138">
        <v>0</v>
      </c>
      <c r="L18" s="138">
        <v>4</v>
      </c>
      <c r="M18" s="138">
        <v>9</v>
      </c>
      <c r="N18" s="139">
        <v>36</v>
      </c>
      <c r="O18" s="124">
        <f>E18*$O$2</f>
        <v>0</v>
      </c>
      <c r="P18" s="124">
        <f>F18*$P$2</f>
        <v>1725</v>
      </c>
      <c r="Q18" s="124">
        <f>G18*$Q$2</f>
        <v>70</v>
      </c>
      <c r="R18" s="124">
        <f>H18*$R$2</f>
        <v>700</v>
      </c>
      <c r="S18" s="124">
        <f>I18*$S$2</f>
        <v>180</v>
      </c>
      <c r="T18" s="124">
        <f>J18*$T$2</f>
        <v>90</v>
      </c>
      <c r="U18" s="124">
        <f t="shared" si="8"/>
        <v>0</v>
      </c>
      <c r="V18" s="124">
        <f t="shared" si="12"/>
        <v>100</v>
      </c>
      <c r="W18" s="124">
        <f t="shared" si="13"/>
        <v>180</v>
      </c>
      <c r="X18" s="143">
        <f t="shared" si="14"/>
        <v>396</v>
      </c>
      <c r="Y18" s="120">
        <f t="shared" si="6"/>
        <v>3441</v>
      </c>
    </row>
    <row r="19" spans="2:26" x14ac:dyDescent="0.3">
      <c r="B19" s="47" t="s">
        <v>311</v>
      </c>
      <c r="C19" s="56" t="s">
        <v>372</v>
      </c>
      <c r="D19" s="56" t="s">
        <v>373</v>
      </c>
      <c r="E19" s="47"/>
      <c r="F19" s="32">
        <v>5</v>
      </c>
      <c r="H19" s="32">
        <v>4</v>
      </c>
      <c r="K19" s="32">
        <v>1</v>
      </c>
      <c r="L19" s="32">
        <v>6</v>
      </c>
      <c r="M19" s="32">
        <v>5</v>
      </c>
      <c r="N19" s="48">
        <v>25</v>
      </c>
      <c r="O19" s="33">
        <f t="shared" ref="O19:O20" si="16">E19*$O$2</f>
        <v>0</v>
      </c>
      <c r="P19" s="33">
        <f t="shared" ref="P19:P20" si="17">F19*$P$2</f>
        <v>375</v>
      </c>
      <c r="Q19" s="33">
        <f t="shared" ref="Q19:Q21" si="18">G19*$Q$2</f>
        <v>0</v>
      </c>
      <c r="R19" s="33">
        <f t="shared" ref="R19:R20" si="19">H19*$R$2</f>
        <v>560</v>
      </c>
      <c r="S19" s="33">
        <f t="shared" ref="S19:S21" si="20">I19*$S$2</f>
        <v>0</v>
      </c>
      <c r="T19" s="33">
        <f t="shared" ref="T19:T21" si="21">J19*$T$2</f>
        <v>0</v>
      </c>
      <c r="U19" s="33">
        <f t="shared" ref="U19:U20" si="22">K19*$U$2</f>
        <v>170</v>
      </c>
      <c r="V19" s="33">
        <f t="shared" ref="V19:V21" si="23">L19*$V$2</f>
        <v>150</v>
      </c>
      <c r="W19" s="33">
        <f t="shared" ref="W19:W21" si="24">M19*$W$2</f>
        <v>100</v>
      </c>
      <c r="X19" s="140">
        <f t="shared" ref="X19:X21" si="25">N19*$X$2</f>
        <v>275</v>
      </c>
      <c r="Y19" s="121">
        <f t="shared" ref="Y19:Y21" si="26">SUM(O19:X19)</f>
        <v>1630</v>
      </c>
    </row>
    <row r="20" spans="2:26" x14ac:dyDescent="0.3">
      <c r="B20" s="47" t="s">
        <v>312</v>
      </c>
      <c r="C20" s="56" t="s">
        <v>374</v>
      </c>
      <c r="D20" s="56" t="s">
        <v>375</v>
      </c>
      <c r="E20" s="47"/>
      <c r="F20" s="32">
        <v>11</v>
      </c>
      <c r="H20" s="32">
        <v>6</v>
      </c>
      <c r="I20" s="32">
        <v>1</v>
      </c>
      <c r="L20" s="32">
        <v>3</v>
      </c>
      <c r="M20" s="32">
        <v>4</v>
      </c>
      <c r="N20" s="48">
        <v>16</v>
      </c>
      <c r="O20" s="33">
        <f t="shared" si="16"/>
        <v>0</v>
      </c>
      <c r="P20" s="33">
        <f t="shared" si="17"/>
        <v>825</v>
      </c>
      <c r="Q20" s="33">
        <f t="shared" si="18"/>
        <v>0</v>
      </c>
      <c r="R20" s="33">
        <f t="shared" si="19"/>
        <v>840</v>
      </c>
      <c r="S20" s="33">
        <f t="shared" si="20"/>
        <v>180</v>
      </c>
      <c r="T20" s="33">
        <f t="shared" si="21"/>
        <v>0</v>
      </c>
      <c r="U20" s="33">
        <f t="shared" si="22"/>
        <v>0</v>
      </c>
      <c r="V20" s="33">
        <f t="shared" si="23"/>
        <v>75</v>
      </c>
      <c r="W20" s="33">
        <f t="shared" si="24"/>
        <v>80</v>
      </c>
      <c r="X20" s="140">
        <f t="shared" si="25"/>
        <v>176</v>
      </c>
      <c r="Y20" s="121">
        <f t="shared" si="26"/>
        <v>2176</v>
      </c>
    </row>
    <row r="21" spans="2:26" ht="15" thickBot="1" x14ac:dyDescent="0.35">
      <c r="B21" s="49" t="s">
        <v>313</v>
      </c>
      <c r="C21" s="136" t="s">
        <v>376</v>
      </c>
      <c r="D21" s="136" t="s">
        <v>377</v>
      </c>
      <c r="E21" s="49">
        <v>1</v>
      </c>
      <c r="F21" s="50">
        <v>6</v>
      </c>
      <c r="G21" s="50"/>
      <c r="H21" s="50">
        <v>2</v>
      </c>
      <c r="I21" s="50"/>
      <c r="J21" s="50"/>
      <c r="K21" s="50"/>
      <c r="L21" s="50">
        <v>4</v>
      </c>
      <c r="M21" s="50">
        <v>6</v>
      </c>
      <c r="N21" s="53">
        <v>28</v>
      </c>
      <c r="O21" s="125">
        <f>E21*$O$2</f>
        <v>37.5</v>
      </c>
      <c r="P21" s="125">
        <f>F21*$P$2</f>
        <v>450</v>
      </c>
      <c r="Q21" s="125">
        <f t="shared" si="18"/>
        <v>0</v>
      </c>
      <c r="R21" s="125">
        <f>H21*$R$2</f>
        <v>280</v>
      </c>
      <c r="S21" s="125">
        <f t="shared" si="20"/>
        <v>0</v>
      </c>
      <c r="T21" s="125">
        <f t="shared" si="21"/>
        <v>0</v>
      </c>
      <c r="U21" s="125">
        <f>K21*$U$2</f>
        <v>0</v>
      </c>
      <c r="V21" s="125">
        <f t="shared" si="23"/>
        <v>100</v>
      </c>
      <c r="W21" s="125">
        <f t="shared" si="24"/>
        <v>120</v>
      </c>
      <c r="X21" s="144">
        <f t="shared" si="25"/>
        <v>308</v>
      </c>
      <c r="Y21" s="122">
        <f t="shared" si="26"/>
        <v>1295.5</v>
      </c>
      <c r="Z21" s="33">
        <f>SUM(Y18:Y21)</f>
        <v>8542.5</v>
      </c>
    </row>
    <row r="22" spans="2:26" x14ac:dyDescent="0.3">
      <c r="B22" s="105" t="s">
        <v>314</v>
      </c>
      <c r="C22" s="142" t="s">
        <v>378</v>
      </c>
      <c r="D22" s="142" t="s">
        <v>379</v>
      </c>
      <c r="E22" s="105"/>
      <c r="F22" s="138"/>
      <c r="G22" s="138"/>
      <c r="H22" s="138"/>
      <c r="I22" s="138"/>
      <c r="J22" s="138"/>
      <c r="K22" s="138"/>
      <c r="L22" s="138"/>
      <c r="M22" s="138"/>
      <c r="N22" s="139"/>
      <c r="O22" s="142"/>
      <c r="P22" s="142"/>
      <c r="Q22" s="142"/>
      <c r="R22" s="142"/>
      <c r="S22" s="142"/>
      <c r="T22" s="142"/>
      <c r="U22" s="142"/>
      <c r="V22" s="138"/>
      <c r="W22" s="138"/>
      <c r="X22" s="139"/>
      <c r="Y22" s="120">
        <f t="shared" si="6"/>
        <v>0</v>
      </c>
    </row>
    <row r="23" spans="2:26" x14ac:dyDescent="0.3">
      <c r="B23" s="47" t="s">
        <v>315</v>
      </c>
      <c r="C23" s="187" t="s">
        <v>380</v>
      </c>
      <c r="D23" s="187" t="s">
        <v>381</v>
      </c>
      <c r="E23" s="47"/>
      <c r="F23" s="188"/>
      <c r="G23" s="188"/>
      <c r="H23" s="188"/>
      <c r="I23" s="188"/>
      <c r="J23" s="188"/>
      <c r="K23" s="188"/>
      <c r="L23" s="188"/>
      <c r="M23" s="188"/>
      <c r="N23" s="48"/>
      <c r="O23" s="187"/>
      <c r="P23" s="187"/>
      <c r="Q23" s="187"/>
      <c r="R23" s="187"/>
      <c r="S23" s="187"/>
      <c r="T23" s="187"/>
      <c r="U23" s="187"/>
      <c r="V23" s="188"/>
      <c r="W23" s="188"/>
      <c r="X23" s="48"/>
      <c r="Y23" s="51"/>
    </row>
    <row r="24" spans="2:26" x14ac:dyDescent="0.3">
      <c r="B24" s="47" t="s">
        <v>316</v>
      </c>
      <c r="C24" s="187" t="s">
        <v>382</v>
      </c>
      <c r="D24" s="187" t="s">
        <v>383</v>
      </c>
      <c r="E24" s="47"/>
      <c r="F24" s="188"/>
      <c r="G24" s="188"/>
      <c r="H24" s="188"/>
      <c r="I24" s="188"/>
      <c r="J24" s="188"/>
      <c r="K24" s="188"/>
      <c r="L24" s="188"/>
      <c r="M24" s="188"/>
      <c r="N24" s="48"/>
      <c r="O24" s="187"/>
      <c r="P24" s="187"/>
      <c r="Q24" s="187"/>
      <c r="R24" s="187"/>
      <c r="S24" s="187"/>
      <c r="T24" s="187"/>
      <c r="U24" s="187"/>
      <c r="V24" s="188"/>
      <c r="W24" s="188"/>
      <c r="X24" s="48"/>
      <c r="Y24" s="51"/>
    </row>
    <row r="25" spans="2:26" ht="15" thickBot="1" x14ac:dyDescent="0.35">
      <c r="B25" s="49" t="s">
        <v>317</v>
      </c>
      <c r="C25" s="136" t="s">
        <v>384</v>
      </c>
      <c r="D25" s="136" t="s">
        <v>385</v>
      </c>
      <c r="E25" s="49"/>
      <c r="F25" s="50"/>
      <c r="G25" s="50"/>
      <c r="H25" s="50"/>
      <c r="I25" s="50"/>
      <c r="J25" s="50"/>
      <c r="K25" s="50"/>
      <c r="L25" s="50"/>
      <c r="M25" s="50"/>
      <c r="N25" s="53"/>
      <c r="O25" s="136"/>
      <c r="P25" s="136"/>
      <c r="Q25" s="136"/>
      <c r="R25" s="136"/>
      <c r="S25" s="136"/>
      <c r="T25" s="136"/>
      <c r="U25" s="136"/>
      <c r="V25" s="50"/>
      <c r="W25" s="50"/>
      <c r="X25" s="53"/>
      <c r="Y25" s="52"/>
    </row>
    <row r="26" spans="2:26" x14ac:dyDescent="0.3">
      <c r="B26" s="47" t="s">
        <v>318</v>
      </c>
      <c r="C26" s="56" t="s">
        <v>386</v>
      </c>
      <c r="D26" s="56" t="s">
        <v>387</v>
      </c>
      <c r="E26" s="47"/>
      <c r="N26" s="48"/>
      <c r="O26" s="56"/>
      <c r="P26" s="56"/>
      <c r="Q26" s="56"/>
      <c r="R26" s="56"/>
      <c r="S26" s="56"/>
      <c r="T26" s="56"/>
      <c r="U26" s="56"/>
      <c r="X26" s="48"/>
      <c r="Y26" s="51"/>
    </row>
    <row r="27" spans="2:26" x14ac:dyDescent="0.3">
      <c r="B27" s="47" t="s">
        <v>319</v>
      </c>
      <c r="C27" s="56" t="s">
        <v>388</v>
      </c>
      <c r="D27" s="56" t="s">
        <v>389</v>
      </c>
      <c r="E27" s="47"/>
      <c r="N27" s="48"/>
      <c r="O27" s="56"/>
      <c r="P27" s="56"/>
      <c r="Q27" s="56"/>
      <c r="R27" s="56"/>
      <c r="S27" s="56"/>
      <c r="T27" s="56"/>
      <c r="U27" s="56"/>
      <c r="X27" s="48"/>
      <c r="Y27" s="51"/>
    </row>
    <row r="28" spans="2:26" x14ac:dyDescent="0.3">
      <c r="B28" s="47" t="s">
        <v>320</v>
      </c>
      <c r="C28" s="56" t="s">
        <v>390</v>
      </c>
      <c r="D28" s="56" t="s">
        <v>391</v>
      </c>
      <c r="E28" s="47"/>
      <c r="N28" s="48"/>
      <c r="O28" s="56"/>
      <c r="P28" s="56"/>
      <c r="Q28" s="56"/>
      <c r="R28" s="56"/>
      <c r="S28" s="56"/>
      <c r="T28" s="56"/>
      <c r="U28" s="56"/>
      <c r="X28" s="48"/>
      <c r="Y28" s="51"/>
    </row>
    <row r="29" spans="2:26" x14ac:dyDescent="0.3">
      <c r="B29" s="47" t="s">
        <v>321</v>
      </c>
      <c r="C29" s="56" t="s">
        <v>392</v>
      </c>
      <c r="D29" s="56" t="s">
        <v>393</v>
      </c>
      <c r="E29" s="47"/>
      <c r="N29" s="48"/>
      <c r="O29" s="56"/>
      <c r="P29" s="56"/>
      <c r="Q29" s="56"/>
      <c r="R29" s="56"/>
      <c r="S29" s="56"/>
      <c r="T29" s="56"/>
      <c r="U29" s="56"/>
      <c r="X29" s="48"/>
      <c r="Y29" s="51"/>
    </row>
    <row r="30" spans="2:26" x14ac:dyDescent="0.3">
      <c r="B30" s="47" t="s">
        <v>322</v>
      </c>
      <c r="C30" s="56" t="s">
        <v>394</v>
      </c>
      <c r="D30" s="56" t="s">
        <v>395</v>
      </c>
      <c r="E30" s="47"/>
      <c r="N30" s="48"/>
      <c r="O30" s="56"/>
      <c r="P30" s="56"/>
      <c r="Q30" s="56"/>
      <c r="R30" s="56"/>
      <c r="S30" s="56"/>
      <c r="T30" s="56"/>
      <c r="U30" s="56"/>
      <c r="X30" s="48"/>
      <c r="Y30" s="51"/>
    </row>
    <row r="31" spans="2:26" x14ac:dyDescent="0.3">
      <c r="B31" s="47" t="s">
        <v>323</v>
      </c>
      <c r="C31" s="56" t="s">
        <v>396</v>
      </c>
      <c r="D31" s="56" t="s">
        <v>397</v>
      </c>
      <c r="E31" s="47"/>
      <c r="N31" s="48"/>
      <c r="O31" s="56"/>
      <c r="P31" s="56"/>
      <c r="Q31" s="56"/>
      <c r="R31" s="56"/>
      <c r="S31" s="56"/>
      <c r="T31" s="56"/>
      <c r="U31" s="56"/>
      <c r="X31" s="48"/>
      <c r="Y31" s="51"/>
    </row>
    <row r="32" spans="2:26" x14ac:dyDescent="0.3">
      <c r="B32" s="47" t="s">
        <v>324</v>
      </c>
      <c r="C32" s="56" t="s">
        <v>398</v>
      </c>
      <c r="D32" s="56" t="s">
        <v>399</v>
      </c>
      <c r="E32" s="47"/>
      <c r="N32" s="48"/>
      <c r="O32" s="56"/>
      <c r="P32" s="56"/>
      <c r="Q32" s="56"/>
      <c r="R32" s="56"/>
      <c r="S32" s="56"/>
      <c r="T32" s="56"/>
      <c r="U32" s="56"/>
      <c r="X32" s="48"/>
      <c r="Y32" s="51"/>
    </row>
    <row r="33" spans="2:25" x14ac:dyDescent="0.3">
      <c r="B33" s="47" t="s">
        <v>325</v>
      </c>
      <c r="C33" s="56" t="s">
        <v>400</v>
      </c>
      <c r="D33" s="56" t="s">
        <v>401</v>
      </c>
      <c r="E33" s="47"/>
      <c r="N33" s="48"/>
      <c r="O33" s="56"/>
      <c r="P33" s="56"/>
      <c r="Q33" s="56"/>
      <c r="R33" s="56"/>
      <c r="S33" s="56"/>
      <c r="T33" s="56"/>
      <c r="U33" s="56"/>
      <c r="X33" s="48"/>
      <c r="Y33" s="51"/>
    </row>
    <row r="34" spans="2:25" x14ac:dyDescent="0.3">
      <c r="B34" s="47" t="s">
        <v>326</v>
      </c>
      <c r="C34" s="56" t="s">
        <v>402</v>
      </c>
      <c r="D34" s="56" t="s">
        <v>403</v>
      </c>
      <c r="E34" s="47"/>
      <c r="N34" s="48"/>
      <c r="O34" s="56"/>
      <c r="P34" s="56"/>
      <c r="Q34" s="56"/>
      <c r="R34" s="56"/>
      <c r="S34" s="56"/>
      <c r="T34" s="56"/>
      <c r="U34" s="56"/>
      <c r="X34" s="48"/>
      <c r="Y34" s="51"/>
    </row>
    <row r="35" spans="2:25" x14ac:dyDescent="0.3">
      <c r="B35" s="47" t="s">
        <v>327</v>
      </c>
      <c r="C35" s="56" t="s">
        <v>404</v>
      </c>
      <c r="D35" s="56" t="s">
        <v>405</v>
      </c>
      <c r="E35" s="47"/>
      <c r="N35" s="48"/>
      <c r="O35" s="56"/>
      <c r="P35" s="56"/>
      <c r="Q35" s="56"/>
      <c r="R35" s="56"/>
      <c r="S35" s="56"/>
      <c r="T35" s="56"/>
      <c r="U35" s="56"/>
      <c r="X35" s="48"/>
      <c r="Y35" s="51"/>
    </row>
    <row r="36" spans="2:25" x14ac:dyDescent="0.3">
      <c r="B36" s="47" t="s">
        <v>328</v>
      </c>
      <c r="C36" s="56" t="s">
        <v>406</v>
      </c>
      <c r="D36" s="56" t="s">
        <v>407</v>
      </c>
      <c r="E36" s="47"/>
      <c r="N36" s="48"/>
      <c r="O36" s="56"/>
      <c r="P36" s="56"/>
      <c r="Q36" s="56"/>
      <c r="R36" s="56"/>
      <c r="S36" s="56"/>
      <c r="T36" s="56"/>
      <c r="U36" s="56"/>
      <c r="X36" s="48"/>
      <c r="Y36" s="51"/>
    </row>
    <row r="37" spans="2:25" x14ac:dyDescent="0.3">
      <c r="B37" s="47" t="s">
        <v>329</v>
      </c>
      <c r="C37" s="56" t="s">
        <v>408</v>
      </c>
      <c r="D37" s="56" t="s">
        <v>409</v>
      </c>
      <c r="E37" s="47"/>
      <c r="N37" s="48"/>
      <c r="O37" s="56"/>
      <c r="P37" s="56"/>
      <c r="Q37" s="56"/>
      <c r="R37" s="56"/>
      <c r="S37" s="56"/>
      <c r="T37" s="56"/>
      <c r="U37" s="56"/>
      <c r="X37" s="48"/>
      <c r="Y37" s="51"/>
    </row>
    <row r="38" spans="2:25" x14ac:dyDescent="0.3">
      <c r="B38" s="47" t="s">
        <v>330</v>
      </c>
      <c r="C38" s="56" t="s">
        <v>410</v>
      </c>
      <c r="D38" s="56" t="s">
        <v>411</v>
      </c>
      <c r="E38" s="47"/>
      <c r="N38" s="48"/>
      <c r="O38" s="56"/>
      <c r="P38" s="56"/>
      <c r="Q38" s="56"/>
      <c r="R38" s="56"/>
      <c r="S38" s="56"/>
      <c r="T38" s="56"/>
      <c r="U38" s="56"/>
      <c r="X38" s="48"/>
      <c r="Y38" s="51"/>
    </row>
    <row r="39" spans="2:25" x14ac:dyDescent="0.3">
      <c r="B39" s="47" t="s">
        <v>331</v>
      </c>
      <c r="C39" s="56" t="s">
        <v>412</v>
      </c>
      <c r="D39" s="56" t="s">
        <v>413</v>
      </c>
      <c r="E39" s="47"/>
      <c r="N39" s="48"/>
      <c r="O39" s="56"/>
      <c r="P39" s="56"/>
      <c r="Q39" s="56"/>
      <c r="R39" s="56"/>
      <c r="S39" s="56"/>
      <c r="T39" s="56"/>
      <c r="U39" s="56"/>
      <c r="X39" s="48"/>
      <c r="Y39" s="51"/>
    </row>
    <row r="40" spans="2:25" x14ac:dyDescent="0.3">
      <c r="B40" s="47" t="s">
        <v>332</v>
      </c>
      <c r="C40" s="56" t="s">
        <v>414</v>
      </c>
      <c r="D40" s="56" t="s">
        <v>415</v>
      </c>
      <c r="E40" s="47"/>
      <c r="N40" s="48"/>
      <c r="O40" s="56"/>
      <c r="P40" s="56"/>
      <c r="Q40" s="56"/>
      <c r="R40" s="56"/>
      <c r="S40" s="56"/>
      <c r="T40" s="56"/>
      <c r="U40" s="56"/>
      <c r="X40" s="48"/>
      <c r="Y40" s="51"/>
    </row>
    <row r="41" spans="2:25" x14ac:dyDescent="0.3">
      <c r="B41" s="47" t="s">
        <v>333</v>
      </c>
      <c r="C41" s="56" t="s">
        <v>416</v>
      </c>
      <c r="D41" s="56" t="s">
        <v>417</v>
      </c>
      <c r="E41" s="47"/>
      <c r="N41" s="48"/>
      <c r="O41" s="56"/>
      <c r="P41" s="56"/>
      <c r="Q41" s="56"/>
      <c r="R41" s="56"/>
      <c r="S41" s="56"/>
      <c r="T41" s="56"/>
      <c r="U41" s="56"/>
      <c r="X41" s="48"/>
      <c r="Y41" s="51"/>
    </row>
    <row r="42" spans="2:25" x14ac:dyDescent="0.3">
      <c r="B42" s="47" t="s">
        <v>334</v>
      </c>
      <c r="C42" s="56" t="s">
        <v>418</v>
      </c>
      <c r="D42" s="56" t="s">
        <v>419</v>
      </c>
      <c r="E42" s="47"/>
      <c r="N42" s="48"/>
      <c r="O42" s="56"/>
      <c r="P42" s="56"/>
      <c r="Q42" s="56"/>
      <c r="R42" s="56"/>
      <c r="S42" s="56"/>
      <c r="T42" s="56"/>
      <c r="U42" s="56"/>
      <c r="X42" s="48"/>
      <c r="Y42" s="51"/>
    </row>
    <row r="43" spans="2:25" x14ac:dyDescent="0.3">
      <c r="B43" s="47" t="s">
        <v>335</v>
      </c>
      <c r="C43" s="56" t="s">
        <v>420</v>
      </c>
      <c r="D43" s="56" t="s">
        <v>421</v>
      </c>
      <c r="E43" s="47"/>
      <c r="N43" s="48"/>
      <c r="O43" s="56"/>
      <c r="P43" s="56"/>
      <c r="Q43" s="56"/>
      <c r="R43" s="56"/>
      <c r="S43" s="56"/>
      <c r="T43" s="56"/>
      <c r="U43" s="56"/>
      <c r="X43" s="48"/>
      <c r="Y43" s="51"/>
    </row>
    <row r="44" spans="2:25" x14ac:dyDescent="0.3">
      <c r="B44" s="47" t="s">
        <v>336</v>
      </c>
      <c r="C44" s="56" t="s">
        <v>422</v>
      </c>
      <c r="D44" s="56" t="s">
        <v>423</v>
      </c>
      <c r="E44" s="47"/>
      <c r="N44" s="48"/>
      <c r="O44" s="56"/>
      <c r="P44" s="56"/>
      <c r="Q44" s="56"/>
      <c r="R44" s="56"/>
      <c r="S44" s="56"/>
      <c r="T44" s="56"/>
      <c r="U44" s="56"/>
      <c r="X44" s="48"/>
      <c r="Y44" s="51"/>
    </row>
    <row r="45" spans="2:25" x14ac:dyDescent="0.3">
      <c r="B45" s="47" t="s">
        <v>337</v>
      </c>
      <c r="C45" s="56" t="s">
        <v>424</v>
      </c>
      <c r="D45" s="56" t="s">
        <v>425</v>
      </c>
      <c r="E45" s="47"/>
      <c r="N45" s="48"/>
      <c r="O45" s="56"/>
      <c r="P45" s="56"/>
      <c r="Q45" s="56"/>
      <c r="R45" s="56"/>
      <c r="S45" s="56"/>
      <c r="T45" s="56"/>
      <c r="U45" s="56"/>
      <c r="X45" s="48"/>
      <c r="Y45" s="51"/>
    </row>
    <row r="46" spans="2:25" x14ac:dyDescent="0.3">
      <c r="B46" s="47" t="s">
        <v>338</v>
      </c>
      <c r="C46" s="56" t="s">
        <v>426</v>
      </c>
      <c r="D46" s="56" t="s">
        <v>427</v>
      </c>
      <c r="E46" s="47"/>
      <c r="N46" s="48"/>
      <c r="O46" s="56"/>
      <c r="P46" s="56"/>
      <c r="Q46" s="56"/>
      <c r="R46" s="56"/>
      <c r="S46" s="56"/>
      <c r="T46" s="56"/>
      <c r="U46" s="56"/>
      <c r="X46" s="48"/>
      <c r="Y46" s="51"/>
    </row>
    <row r="47" spans="2:25" x14ac:dyDescent="0.3">
      <c r="B47" s="47" t="s">
        <v>339</v>
      </c>
      <c r="C47" s="56" t="s">
        <v>428</v>
      </c>
      <c r="D47" s="56" t="s">
        <v>429</v>
      </c>
      <c r="E47" s="47"/>
      <c r="N47" s="48"/>
      <c r="O47" s="56"/>
      <c r="P47" s="56"/>
      <c r="Q47" s="56"/>
      <c r="R47" s="56"/>
      <c r="S47" s="56"/>
      <c r="T47" s="56"/>
      <c r="U47" s="56"/>
      <c r="X47" s="48"/>
      <c r="Y47" s="51"/>
    </row>
    <row r="48" spans="2:25" x14ac:dyDescent="0.3">
      <c r="B48" s="47" t="s">
        <v>340</v>
      </c>
      <c r="C48" s="56" t="s">
        <v>430</v>
      </c>
      <c r="D48" s="56" t="s">
        <v>431</v>
      </c>
      <c r="E48" s="47"/>
      <c r="N48" s="48"/>
      <c r="O48" s="56"/>
      <c r="P48" s="56"/>
      <c r="Q48" s="56"/>
      <c r="R48" s="56"/>
      <c r="S48" s="56"/>
      <c r="T48" s="56"/>
      <c r="U48" s="56"/>
      <c r="X48" s="48"/>
      <c r="Y48" s="51"/>
    </row>
    <row r="49" spans="2:25" x14ac:dyDescent="0.3">
      <c r="B49" s="47" t="s">
        <v>341</v>
      </c>
      <c r="C49" s="56" t="s">
        <v>432</v>
      </c>
      <c r="D49" s="56" t="s">
        <v>433</v>
      </c>
      <c r="E49" s="133"/>
      <c r="F49" s="56"/>
      <c r="G49" s="56"/>
      <c r="H49" s="56"/>
      <c r="I49" s="56"/>
      <c r="J49" s="56"/>
      <c r="K49" s="56"/>
      <c r="L49" s="56"/>
      <c r="M49" s="56"/>
      <c r="N49" s="134"/>
      <c r="O49" s="56"/>
      <c r="P49" s="56"/>
      <c r="Q49" s="56"/>
      <c r="R49" s="56"/>
      <c r="S49" s="56"/>
      <c r="T49" s="56"/>
      <c r="U49" s="56"/>
      <c r="X49" s="48"/>
      <c r="Y49" s="51"/>
    </row>
    <row r="50" spans="2:25" x14ac:dyDescent="0.3">
      <c r="B50" s="47" t="s">
        <v>342</v>
      </c>
      <c r="C50" s="56" t="s">
        <v>434</v>
      </c>
      <c r="D50" s="56" t="s">
        <v>435</v>
      </c>
      <c r="E50" s="133"/>
      <c r="F50" s="56"/>
      <c r="G50" s="56"/>
      <c r="H50" s="56"/>
      <c r="I50" s="56"/>
      <c r="J50" s="56"/>
      <c r="K50" s="56"/>
      <c r="L50" s="56"/>
      <c r="M50" s="56"/>
      <c r="N50" s="134"/>
      <c r="O50" s="56"/>
      <c r="P50" s="56"/>
      <c r="Q50" s="56"/>
      <c r="R50" s="56"/>
      <c r="S50" s="56"/>
      <c r="T50" s="56"/>
      <c r="U50" s="56"/>
      <c r="X50" s="48"/>
      <c r="Y50" s="51"/>
    </row>
    <row r="51" spans="2:25" ht="15" thickBot="1" x14ac:dyDescent="0.35">
      <c r="B51" s="49" t="s">
        <v>343</v>
      </c>
      <c r="C51" s="136" t="s">
        <v>436</v>
      </c>
      <c r="D51" s="136" t="s">
        <v>437</v>
      </c>
      <c r="E51" s="135"/>
      <c r="F51" s="136"/>
      <c r="G51" s="136"/>
      <c r="H51" s="136"/>
      <c r="I51" s="136"/>
      <c r="J51" s="136"/>
      <c r="K51" s="136"/>
      <c r="L51" s="136"/>
      <c r="M51" s="136"/>
      <c r="N51" s="137"/>
      <c r="O51" s="136"/>
      <c r="P51" s="136"/>
      <c r="Q51" s="136"/>
      <c r="R51" s="136"/>
      <c r="S51" s="136"/>
      <c r="T51" s="136"/>
      <c r="U51" s="136"/>
      <c r="V51" s="50"/>
      <c r="W51" s="50"/>
      <c r="X51" s="53"/>
      <c r="Y51" s="52"/>
    </row>
    <row r="52" spans="2:25" x14ac:dyDescent="0.3">
      <c r="C52" s="56" t="s">
        <v>438</v>
      </c>
      <c r="D52" s="56" t="s">
        <v>439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</row>
  </sheetData>
  <mergeCells count="2">
    <mergeCell ref="E3:N3"/>
    <mergeCell ref="O3:X3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E8AC-0C98-4028-9364-F321D829159D}">
  <dimension ref="B2:V70"/>
  <sheetViews>
    <sheetView zoomScale="77" workbookViewId="0">
      <selection activeCell="K12" sqref="K12"/>
    </sheetView>
  </sheetViews>
  <sheetFormatPr baseColWidth="10" defaultColWidth="12.44140625" defaultRowHeight="14.4" x14ac:dyDescent="0.3"/>
  <cols>
    <col min="1" max="1" width="12.44140625" style="1"/>
    <col min="2" max="2" width="13.77734375" style="1" bestFit="1" customWidth="1"/>
    <col min="3" max="8" width="12.44140625" style="1"/>
    <col min="9" max="9" width="12.44140625" style="2"/>
    <col min="10" max="11" width="12.44140625" style="1"/>
    <col min="12" max="12" width="24.44140625" style="1" bestFit="1" customWidth="1"/>
    <col min="13" max="13" width="12.44140625" style="1"/>
    <col min="14" max="14" width="6.33203125" style="1" customWidth="1"/>
    <col min="15" max="15" width="24.44140625" style="1" bestFit="1" customWidth="1"/>
    <col min="16" max="16" width="12.44140625" style="1"/>
    <col min="17" max="17" width="4.109375" style="1" customWidth="1"/>
    <col min="18" max="18" width="24.44140625" style="1" bestFit="1" customWidth="1"/>
    <col min="19" max="19" width="12.44140625" style="1"/>
    <col min="20" max="20" width="5" style="1" customWidth="1"/>
    <col min="21" max="21" width="24.77734375" style="1" bestFit="1" customWidth="1"/>
    <col min="22" max="16384" width="12.44140625" style="1"/>
  </cols>
  <sheetData>
    <row r="2" spans="2:22" ht="15" thickBot="1" x14ac:dyDescent="0.35">
      <c r="B2" s="3" t="s">
        <v>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31</v>
      </c>
    </row>
    <row r="3" spans="2:22" ht="15" thickBot="1" x14ac:dyDescent="0.35">
      <c r="B3" s="1" t="s">
        <v>454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I3" s="1">
        <f>SUM(C3:H3)</f>
        <v>25</v>
      </c>
      <c r="J3" s="2"/>
      <c r="L3" s="23" t="s">
        <v>42</v>
      </c>
      <c r="M3" s="28">
        <f>E27</f>
        <v>0.47959183673469385</v>
      </c>
      <c r="O3" s="23" t="s">
        <v>42</v>
      </c>
      <c r="P3" s="28">
        <f>E38</f>
        <v>0.45102040816326533</v>
      </c>
      <c r="R3" s="23" t="s">
        <v>42</v>
      </c>
      <c r="S3" s="28">
        <f>E49</f>
        <v>0.41428571428571431</v>
      </c>
      <c r="U3" s="23" t="s">
        <v>42</v>
      </c>
      <c r="V3" s="28">
        <f>E60</f>
        <v>0.35714285714285715</v>
      </c>
    </row>
    <row r="4" spans="2:22" x14ac:dyDescent="0.3">
      <c r="B4" s="1" t="s">
        <v>232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f t="shared" ref="I4:I12" si="0">SUM(C4:H4)</f>
        <v>30</v>
      </c>
      <c r="J4" s="2"/>
      <c r="L4" s="11"/>
      <c r="M4" s="12"/>
      <c r="O4" s="11"/>
      <c r="P4" s="12"/>
      <c r="R4" s="11"/>
      <c r="S4" s="12"/>
      <c r="U4" s="11"/>
      <c r="V4" s="12"/>
    </row>
    <row r="5" spans="2:22" x14ac:dyDescent="0.3">
      <c r="B5" s="1" t="s">
        <v>233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f t="shared" si="0"/>
        <v>30</v>
      </c>
      <c r="J5" s="2"/>
      <c r="L5" s="20" t="s">
        <v>37</v>
      </c>
      <c r="M5" s="13">
        <f>G26</f>
        <v>8239</v>
      </c>
      <c r="O5" s="20" t="s">
        <v>37</v>
      </c>
      <c r="P5" s="13">
        <f>G37</f>
        <v>7842.45</v>
      </c>
      <c r="R5" s="20" t="s">
        <v>37</v>
      </c>
      <c r="S5" s="13">
        <f>G48</f>
        <v>7338.1</v>
      </c>
      <c r="U5" s="20" t="s">
        <v>37</v>
      </c>
      <c r="V5" s="13">
        <f>G59</f>
        <v>4797.1000000000004</v>
      </c>
    </row>
    <row r="6" spans="2:22" x14ac:dyDescent="0.3">
      <c r="B6" s="1" t="s">
        <v>234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f t="shared" si="0"/>
        <v>30</v>
      </c>
      <c r="J6" s="2"/>
      <c r="L6" s="20" t="s">
        <v>38</v>
      </c>
      <c r="M6" s="13">
        <v>4648</v>
      </c>
      <c r="O6" s="20" t="s">
        <v>38</v>
      </c>
      <c r="P6" s="13">
        <f>M6</f>
        <v>4648</v>
      </c>
      <c r="R6" s="20" t="s">
        <v>38</v>
      </c>
      <c r="S6" s="13">
        <f>M6</f>
        <v>4648</v>
      </c>
      <c r="U6" s="20" t="s">
        <v>38</v>
      </c>
      <c r="V6" s="13">
        <f>M6</f>
        <v>4648</v>
      </c>
    </row>
    <row r="7" spans="2:22" x14ac:dyDescent="0.3">
      <c r="B7" s="1" t="s">
        <v>235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f t="shared" si="0"/>
        <v>30</v>
      </c>
      <c r="J7" s="2"/>
      <c r="L7" s="20" t="s">
        <v>39</v>
      </c>
      <c r="M7" s="13">
        <f>M5-M6</f>
        <v>3591</v>
      </c>
      <c r="O7" s="20" t="s">
        <v>39</v>
      </c>
      <c r="P7" s="13">
        <f>P5-P6</f>
        <v>3194.45</v>
      </c>
      <c r="R7" s="20" t="s">
        <v>39</v>
      </c>
      <c r="S7" s="13">
        <f>S5-S6</f>
        <v>2690.1000000000004</v>
      </c>
      <c r="U7" s="20" t="s">
        <v>39</v>
      </c>
      <c r="V7" s="13">
        <f>V5-V6</f>
        <v>149.10000000000036</v>
      </c>
    </row>
    <row r="8" spans="2:22" ht="15" thickBot="1" x14ac:dyDescent="0.35">
      <c r="B8" s="1" t="s">
        <v>221</v>
      </c>
      <c r="I8" s="1">
        <f t="shared" si="0"/>
        <v>0</v>
      </c>
      <c r="J8" s="2"/>
      <c r="L8" s="20" t="s">
        <v>40</v>
      </c>
      <c r="M8" s="13">
        <f>M7*0.25</f>
        <v>897.75</v>
      </c>
      <c r="O8" s="20" t="s">
        <v>40</v>
      </c>
      <c r="P8" s="13">
        <f>P7*0.25</f>
        <v>798.61249999999995</v>
      </c>
      <c r="R8" s="20" t="s">
        <v>40</v>
      </c>
      <c r="S8" s="13">
        <f>S7*0.25</f>
        <v>672.52500000000009</v>
      </c>
      <c r="U8" s="20" t="s">
        <v>40</v>
      </c>
      <c r="V8" s="13">
        <f>V7*0.25</f>
        <v>37.275000000000091</v>
      </c>
    </row>
    <row r="9" spans="2:22" ht="15" thickBot="1" x14ac:dyDescent="0.35">
      <c r="B9" s="1" t="s">
        <v>236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I9" s="1">
        <f t="shared" si="0"/>
        <v>25</v>
      </c>
      <c r="L9" s="21" t="s">
        <v>41</v>
      </c>
      <c r="M9" s="24">
        <f>M7-M8</f>
        <v>2693.25</v>
      </c>
      <c r="O9" s="21" t="s">
        <v>41</v>
      </c>
      <c r="P9" s="24">
        <f>P7-P8</f>
        <v>2395.8374999999996</v>
      </c>
      <c r="R9" s="21" t="s">
        <v>41</v>
      </c>
      <c r="S9" s="24">
        <f>S7-S8</f>
        <v>2017.5750000000003</v>
      </c>
      <c r="U9" s="21" t="s">
        <v>41</v>
      </c>
      <c r="V9" s="24">
        <f>V7-V8</f>
        <v>111.82500000000027</v>
      </c>
    </row>
    <row r="10" spans="2:22" x14ac:dyDescent="0.3">
      <c r="B10" s="1" t="s">
        <v>237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I10" s="1">
        <f t="shared" si="0"/>
        <v>25</v>
      </c>
    </row>
    <row r="11" spans="2:22" ht="15" thickBot="1" x14ac:dyDescent="0.35">
      <c r="B11" s="1" t="s">
        <v>238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I11" s="1">
        <f t="shared" si="0"/>
        <v>25</v>
      </c>
      <c r="J11" s="2"/>
    </row>
    <row r="12" spans="2:22" x14ac:dyDescent="0.3">
      <c r="B12" s="1" t="s">
        <v>239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I12" s="1">
        <f t="shared" si="0"/>
        <v>25</v>
      </c>
      <c r="J12" s="2"/>
      <c r="L12" s="23" t="s">
        <v>43</v>
      </c>
      <c r="M12" s="10"/>
      <c r="O12" s="23" t="s">
        <v>43</v>
      </c>
      <c r="P12" s="10"/>
      <c r="R12" s="23" t="s">
        <v>43</v>
      </c>
      <c r="S12" s="10"/>
      <c r="U12" s="23" t="s">
        <v>43</v>
      </c>
      <c r="V12" s="10"/>
    </row>
    <row r="13" spans="2:22" x14ac:dyDescent="0.3">
      <c r="I13" s="1"/>
      <c r="J13" s="2"/>
      <c r="L13" s="11"/>
      <c r="M13" s="12"/>
      <c r="O13" s="11"/>
      <c r="P13" s="12"/>
      <c r="R13" s="11"/>
      <c r="S13" s="12"/>
      <c r="U13" s="11"/>
      <c r="V13" s="12"/>
    </row>
    <row r="14" spans="2:22" x14ac:dyDescent="0.3">
      <c r="I14" s="1"/>
      <c r="J14" s="2"/>
      <c r="L14" s="20" t="s">
        <v>37</v>
      </c>
      <c r="M14" s="13">
        <f>M5*12</f>
        <v>98868</v>
      </c>
      <c r="O14" s="20" t="s">
        <v>37</v>
      </c>
      <c r="P14" s="13">
        <f>P5*12</f>
        <v>94109.4</v>
      </c>
      <c r="R14" s="20" t="s">
        <v>37</v>
      </c>
      <c r="S14" s="13">
        <f>S5*12</f>
        <v>88057.200000000012</v>
      </c>
      <c r="U14" s="20" t="s">
        <v>37</v>
      </c>
      <c r="V14" s="13">
        <f>V5*12</f>
        <v>57565.200000000004</v>
      </c>
    </row>
    <row r="15" spans="2:22" x14ac:dyDescent="0.3">
      <c r="C15" s="1">
        <f t="shared" ref="C15:H15" si="1">SUM(C3:C14)</f>
        <v>45</v>
      </c>
      <c r="D15" s="1">
        <f t="shared" si="1"/>
        <v>45</v>
      </c>
      <c r="E15" s="1">
        <f t="shared" si="1"/>
        <v>45</v>
      </c>
      <c r="F15" s="1">
        <f t="shared" si="1"/>
        <v>45</v>
      </c>
      <c r="G15" s="1">
        <f t="shared" si="1"/>
        <v>45</v>
      </c>
      <c r="H15" s="1">
        <f t="shared" si="1"/>
        <v>20</v>
      </c>
      <c r="I15" s="3">
        <f>SUM(C15:H15)</f>
        <v>245</v>
      </c>
      <c r="J15" s="7" t="s">
        <v>13</v>
      </c>
      <c r="L15" s="20" t="s">
        <v>38</v>
      </c>
      <c r="M15" s="13">
        <f>M6*12</f>
        <v>55776</v>
      </c>
      <c r="O15" s="20" t="s">
        <v>38</v>
      </c>
      <c r="P15" s="13">
        <f>P6*12</f>
        <v>55776</v>
      </c>
      <c r="R15" s="20" t="s">
        <v>38</v>
      </c>
      <c r="S15" s="13">
        <f>S6*12</f>
        <v>55776</v>
      </c>
      <c r="U15" s="20" t="s">
        <v>38</v>
      </c>
      <c r="V15" s="13">
        <f>V6*12</f>
        <v>55776</v>
      </c>
    </row>
    <row r="16" spans="2:22" x14ac:dyDescent="0.3">
      <c r="I16" s="3">
        <f>I15*4</f>
        <v>980</v>
      </c>
      <c r="J16" s="7" t="s">
        <v>14</v>
      </c>
      <c r="L16" s="20" t="s">
        <v>39</v>
      </c>
      <c r="M16" s="13">
        <f>M14-M15</f>
        <v>43092</v>
      </c>
      <c r="O16" s="20" t="s">
        <v>39</v>
      </c>
      <c r="P16" s="13">
        <f>P14-P15</f>
        <v>38333.399999999994</v>
      </c>
      <c r="R16" s="20" t="s">
        <v>39</v>
      </c>
      <c r="S16" s="13">
        <f>S14-S15</f>
        <v>32281.200000000012</v>
      </c>
      <c r="U16" s="20" t="s">
        <v>39</v>
      </c>
      <c r="V16" s="13">
        <f>V14-V15</f>
        <v>1789.2000000000044</v>
      </c>
    </row>
    <row r="17" spans="2:22" ht="15" thickBot="1" x14ac:dyDescent="0.35">
      <c r="L17" s="20" t="s">
        <v>40</v>
      </c>
      <c r="M17" s="13">
        <f>M16*0.25</f>
        <v>10773</v>
      </c>
      <c r="O17" s="20" t="s">
        <v>40</v>
      </c>
      <c r="P17" s="13">
        <f>P16*0.25</f>
        <v>9583.3499999999985</v>
      </c>
      <c r="R17" s="20" t="s">
        <v>40</v>
      </c>
      <c r="S17" s="13">
        <f>S16*0.25</f>
        <v>8070.3000000000029</v>
      </c>
      <c r="U17" s="20" t="s">
        <v>40</v>
      </c>
      <c r="V17" s="13">
        <f>V16*0.25</f>
        <v>447.30000000000109</v>
      </c>
    </row>
    <row r="18" spans="2:22" ht="15" thickBot="1" x14ac:dyDescent="0.35">
      <c r="L18" s="21" t="s">
        <v>49</v>
      </c>
      <c r="M18" s="24">
        <f>M16-M17</f>
        <v>32319</v>
      </c>
      <c r="O18" s="21" t="s">
        <v>49</v>
      </c>
      <c r="P18" s="24">
        <f>P16-P17</f>
        <v>28750.049999999996</v>
      </c>
      <c r="R18" s="21" t="s">
        <v>49</v>
      </c>
      <c r="S18" s="24">
        <f>S16-S17</f>
        <v>24210.900000000009</v>
      </c>
      <c r="U18" s="21" t="s">
        <v>49</v>
      </c>
      <c r="V18" s="24">
        <f>V16-V17</f>
        <v>1341.9000000000033</v>
      </c>
    </row>
    <row r="19" spans="2:22" x14ac:dyDescent="0.3">
      <c r="B19" s="8" t="s">
        <v>108</v>
      </c>
      <c r="C19" s="9">
        <f>SUM(C22:C25)</f>
        <v>115</v>
      </c>
      <c r="D19" s="18"/>
      <c r="E19" s="9"/>
      <c r="F19" s="9"/>
      <c r="G19" s="10"/>
    </row>
    <row r="20" spans="2:22" ht="15" thickBot="1" x14ac:dyDescent="0.35">
      <c r="B20" s="11"/>
      <c r="G20" s="12"/>
    </row>
    <row r="21" spans="2:22" x14ac:dyDescent="0.3">
      <c r="B21" s="11"/>
      <c r="C21" s="3" t="s">
        <v>15</v>
      </c>
      <c r="D21" s="3" t="s">
        <v>16</v>
      </c>
      <c r="E21" s="3" t="s">
        <v>17</v>
      </c>
      <c r="F21" s="3" t="s">
        <v>18</v>
      </c>
      <c r="G21" s="43" t="s">
        <v>20</v>
      </c>
      <c r="L21" s="23" t="s">
        <v>48</v>
      </c>
      <c r="M21" s="10"/>
      <c r="O21" s="23" t="s">
        <v>48</v>
      </c>
      <c r="P21" s="10"/>
      <c r="R21" s="23" t="s">
        <v>48</v>
      </c>
      <c r="S21" s="10"/>
      <c r="U21" s="23" t="s">
        <v>48</v>
      </c>
      <c r="V21" s="10"/>
    </row>
    <row r="22" spans="2:22" x14ac:dyDescent="0.3">
      <c r="B22" s="44" t="s">
        <v>106</v>
      </c>
      <c r="C22" s="1">
        <v>80</v>
      </c>
      <c r="D22" s="1">
        <v>4</v>
      </c>
      <c r="E22" s="1">
        <f>C22*D22</f>
        <v>320</v>
      </c>
      <c r="F22" s="4">
        <v>75</v>
      </c>
      <c r="G22" s="13">
        <f>C22*F22</f>
        <v>6000</v>
      </c>
      <c r="L22" s="11"/>
      <c r="M22" s="12"/>
      <c r="O22" s="11"/>
      <c r="P22" s="12"/>
      <c r="R22" s="11"/>
      <c r="S22" s="12"/>
      <c r="U22" s="11"/>
      <c r="V22" s="12"/>
    </row>
    <row r="23" spans="2:22" x14ac:dyDescent="0.3">
      <c r="B23" s="44" t="s">
        <v>106</v>
      </c>
      <c r="C23" s="1">
        <v>15</v>
      </c>
      <c r="D23" s="1">
        <v>8</v>
      </c>
      <c r="E23" s="1">
        <f>C23*D23</f>
        <v>120</v>
      </c>
      <c r="F23" s="4">
        <v>140</v>
      </c>
      <c r="G23" s="13">
        <f>C23*F23</f>
        <v>2100</v>
      </c>
      <c r="L23" s="20" t="s">
        <v>49</v>
      </c>
      <c r="M23" s="13">
        <f>M18</f>
        <v>32319</v>
      </c>
      <c r="O23" s="20" t="s">
        <v>49</v>
      </c>
      <c r="P23" s="13">
        <f>P18</f>
        <v>28750.049999999996</v>
      </c>
      <c r="R23" s="20" t="s">
        <v>49</v>
      </c>
      <c r="S23" s="13">
        <f>S18</f>
        <v>24210.900000000009</v>
      </c>
      <c r="U23" s="20" t="s">
        <v>49</v>
      </c>
      <c r="V23" s="13">
        <f>V18</f>
        <v>1341.9000000000033</v>
      </c>
    </row>
    <row r="24" spans="2:22" ht="15" thickBot="1" x14ac:dyDescent="0.35">
      <c r="B24" s="44" t="s">
        <v>291</v>
      </c>
      <c r="C24" s="1">
        <v>10</v>
      </c>
      <c r="D24" s="1">
        <v>2</v>
      </c>
      <c r="E24" s="1">
        <f>C24*D24</f>
        <v>20</v>
      </c>
      <c r="F24" s="4">
        <v>90</v>
      </c>
      <c r="G24" s="13">
        <f>C24*F24</f>
        <v>900</v>
      </c>
      <c r="L24" s="20" t="s">
        <v>50</v>
      </c>
      <c r="M24" s="13">
        <f>M23*(1-20%)</f>
        <v>25855.200000000001</v>
      </c>
      <c r="O24" s="20" t="s">
        <v>50</v>
      </c>
      <c r="P24" s="13">
        <f>P23*(1-20%)</f>
        <v>23000.039999999997</v>
      </c>
      <c r="R24" s="20" t="s">
        <v>50</v>
      </c>
      <c r="S24" s="13">
        <f>S23*(1-20%)</f>
        <v>19368.720000000008</v>
      </c>
      <c r="U24" s="20" t="s">
        <v>50</v>
      </c>
      <c r="V24" s="13">
        <f>V23*(1-20%)</f>
        <v>1073.5200000000027</v>
      </c>
    </row>
    <row r="25" spans="2:22" ht="15" thickBot="1" x14ac:dyDescent="0.35">
      <c r="B25" s="44" t="s">
        <v>292</v>
      </c>
      <c r="C25" s="1">
        <v>10</v>
      </c>
      <c r="D25" s="1">
        <v>1</v>
      </c>
      <c r="E25" s="1">
        <f>C25*D25</f>
        <v>10</v>
      </c>
      <c r="F25" s="4">
        <v>170</v>
      </c>
      <c r="G25" s="13">
        <f>C25*F25</f>
        <v>1700</v>
      </c>
      <c r="L25" s="20" t="s">
        <v>51</v>
      </c>
      <c r="M25" s="24">
        <f>M$24*0.25</f>
        <v>6463.8</v>
      </c>
      <c r="O25" s="20" t="s">
        <v>51</v>
      </c>
      <c r="P25" s="24">
        <f>P$24*0.25</f>
        <v>5750.0099999999993</v>
      </c>
      <c r="R25" s="20" t="s">
        <v>51</v>
      </c>
      <c r="S25" s="24">
        <f>S$24*0.25</f>
        <v>4842.1800000000021</v>
      </c>
      <c r="U25" s="20" t="s">
        <v>51</v>
      </c>
      <c r="V25" s="24">
        <f>V$24*0.25</f>
        <v>268.38000000000068</v>
      </c>
    </row>
    <row r="26" spans="2:22" ht="15" thickBot="1" x14ac:dyDescent="0.35">
      <c r="B26" s="11"/>
      <c r="E26" s="3">
        <f>SUM(E22:E25)</f>
        <v>470</v>
      </c>
      <c r="G26" s="14">
        <f>SUM(G22:G25)*0.77</f>
        <v>8239</v>
      </c>
      <c r="L26" s="11" t="s">
        <v>52</v>
      </c>
      <c r="M26" s="24">
        <f>M$24*0.25</f>
        <v>6463.8</v>
      </c>
      <c r="O26" s="11" t="s">
        <v>52</v>
      </c>
      <c r="P26" s="24">
        <f>P$24*0.25</f>
        <v>5750.0099999999993</v>
      </c>
      <c r="R26" s="11" t="s">
        <v>52</v>
      </c>
      <c r="S26" s="24">
        <f>S$24*0.25</f>
        <v>4842.1800000000021</v>
      </c>
      <c r="U26" s="11" t="s">
        <v>52</v>
      </c>
      <c r="V26" s="24">
        <f>V$24*0.25</f>
        <v>268.38000000000068</v>
      </c>
    </row>
    <row r="27" spans="2:22" ht="15" thickBot="1" x14ac:dyDescent="0.35">
      <c r="B27" s="15"/>
      <c r="C27" s="16"/>
      <c r="D27" s="16"/>
      <c r="E27" s="19">
        <f>E26/$I$16</f>
        <v>0.47959183673469385</v>
      </c>
      <c r="F27" s="16"/>
      <c r="G27" s="17"/>
      <c r="L27" s="11" t="s">
        <v>53</v>
      </c>
      <c r="M27" s="24">
        <f>M$24*0.25</f>
        <v>6463.8</v>
      </c>
      <c r="O27" s="11" t="s">
        <v>53</v>
      </c>
      <c r="P27" s="24">
        <f>P$24*0.25</f>
        <v>5750.0099999999993</v>
      </c>
      <c r="R27" s="11" t="s">
        <v>53</v>
      </c>
      <c r="S27" s="24">
        <f>S$24*0.25</f>
        <v>4842.1800000000021</v>
      </c>
      <c r="U27" s="11" t="s">
        <v>53</v>
      </c>
      <c r="V27" s="24">
        <f>V$24*0.25</f>
        <v>268.38000000000068</v>
      </c>
    </row>
    <row r="28" spans="2:22" ht="15" thickBot="1" x14ac:dyDescent="0.35">
      <c r="H28" s="4"/>
      <c r="L28" s="15" t="s">
        <v>54</v>
      </c>
      <c r="M28" s="24">
        <f>M$24*0.25</f>
        <v>6463.8</v>
      </c>
      <c r="O28" s="15" t="s">
        <v>54</v>
      </c>
      <c r="P28" s="24">
        <f>P$24*0.25</f>
        <v>5750.0099999999993</v>
      </c>
      <c r="R28" s="15" t="s">
        <v>54</v>
      </c>
      <c r="S28" s="24">
        <f>S$24*0.25</f>
        <v>4842.1800000000021</v>
      </c>
      <c r="U28" s="15" t="s">
        <v>54</v>
      </c>
      <c r="V28" s="24">
        <f>V$24*0.25</f>
        <v>268.38000000000068</v>
      </c>
    </row>
    <row r="29" spans="2:22" ht="15" thickBot="1" x14ac:dyDescent="0.35">
      <c r="H29" s="4"/>
    </row>
    <row r="30" spans="2:22" ht="15" thickBot="1" x14ac:dyDescent="0.35">
      <c r="B30" s="8" t="s">
        <v>108</v>
      </c>
      <c r="C30" s="9">
        <f>SUM(C33:C36)</f>
        <v>109</v>
      </c>
      <c r="D30" s="18"/>
      <c r="E30" s="9"/>
      <c r="F30" s="9"/>
      <c r="G30" s="10"/>
      <c r="H30" s="4"/>
    </row>
    <row r="31" spans="2:22" ht="15" thickBot="1" x14ac:dyDescent="0.35">
      <c r="B31" s="11"/>
      <c r="G31" s="12"/>
      <c r="L31" s="115" t="s">
        <v>293</v>
      </c>
      <c r="M31" s="26" t="s">
        <v>294</v>
      </c>
    </row>
    <row r="32" spans="2:22" x14ac:dyDescent="0.3">
      <c r="B32" s="11"/>
      <c r="C32" s="3" t="s">
        <v>15</v>
      </c>
      <c r="D32" s="3" t="s">
        <v>16</v>
      </c>
      <c r="E32" s="3" t="s">
        <v>17</v>
      </c>
      <c r="F32" s="3" t="s">
        <v>18</v>
      </c>
      <c r="G32" s="43" t="s">
        <v>20</v>
      </c>
      <c r="I32" s="3"/>
      <c r="L32" s="51" t="s">
        <v>263</v>
      </c>
      <c r="M32" s="13">
        <v>-653.52</v>
      </c>
    </row>
    <row r="33" spans="2:16" x14ac:dyDescent="0.3">
      <c r="B33" s="44" t="s">
        <v>106</v>
      </c>
      <c r="C33" s="1">
        <v>75</v>
      </c>
      <c r="D33" s="1">
        <v>4</v>
      </c>
      <c r="E33" s="1">
        <f>C33*D33</f>
        <v>300</v>
      </c>
      <c r="F33" s="4">
        <v>75</v>
      </c>
      <c r="G33" s="13">
        <f>C33*F33</f>
        <v>5625</v>
      </c>
      <c r="H33" s="4"/>
      <c r="I33" s="6"/>
      <c r="L33" s="117" t="s">
        <v>58</v>
      </c>
      <c r="M33" s="13">
        <v>-205.7</v>
      </c>
      <c r="O33" s="1" t="s">
        <v>453</v>
      </c>
    </row>
    <row r="34" spans="2:16" x14ac:dyDescent="0.3">
      <c r="B34" s="44" t="s">
        <v>106</v>
      </c>
      <c r="C34" s="1">
        <v>14</v>
      </c>
      <c r="D34" s="1">
        <v>8</v>
      </c>
      <c r="E34" s="1">
        <f>C34*D34</f>
        <v>112</v>
      </c>
      <c r="F34" s="4">
        <v>140</v>
      </c>
      <c r="G34" s="13">
        <f>C34*F34</f>
        <v>1960</v>
      </c>
      <c r="H34" s="4"/>
      <c r="I34" s="6"/>
      <c r="L34" s="117" t="s">
        <v>277</v>
      </c>
      <c r="M34" s="13">
        <v>-100</v>
      </c>
    </row>
    <row r="35" spans="2:16" x14ac:dyDescent="0.3">
      <c r="B35" s="44" t="s">
        <v>291</v>
      </c>
      <c r="C35" s="1">
        <v>10</v>
      </c>
      <c r="D35" s="1">
        <v>2</v>
      </c>
      <c r="E35" s="1">
        <f>C35*D35</f>
        <v>20</v>
      </c>
      <c r="F35" s="4">
        <v>90</v>
      </c>
      <c r="G35" s="13">
        <f>C35*F35</f>
        <v>900</v>
      </c>
      <c r="H35" s="4"/>
      <c r="I35" s="6"/>
      <c r="L35" s="117" t="s">
        <v>257</v>
      </c>
      <c r="M35" s="116">
        <v>-110</v>
      </c>
    </row>
    <row r="36" spans="2:16" x14ac:dyDescent="0.3">
      <c r="B36" s="44" t="s">
        <v>292</v>
      </c>
      <c r="C36" s="1">
        <v>10</v>
      </c>
      <c r="D36" s="1">
        <v>1</v>
      </c>
      <c r="E36" s="1">
        <f>C36*D36</f>
        <v>10</v>
      </c>
      <c r="F36" s="4">
        <v>170</v>
      </c>
      <c r="G36" s="13">
        <f>C36*F36</f>
        <v>1700</v>
      </c>
      <c r="L36" s="117" t="s">
        <v>32</v>
      </c>
      <c r="M36" s="116">
        <v>-408</v>
      </c>
    </row>
    <row r="37" spans="2:16" x14ac:dyDescent="0.3">
      <c r="B37" s="11"/>
      <c r="E37" s="3">
        <f>SUM(E33:E36)</f>
        <v>442</v>
      </c>
      <c r="G37" s="14">
        <f>SUM(G33:G36)*0.77</f>
        <v>7842.45</v>
      </c>
      <c r="L37" s="117" t="s">
        <v>33</v>
      </c>
      <c r="M37" s="13">
        <v>-100</v>
      </c>
    </row>
    <row r="38" spans="2:16" ht="15" thickBot="1" x14ac:dyDescent="0.35">
      <c r="B38" s="15"/>
      <c r="C38" s="16"/>
      <c r="D38" s="16"/>
      <c r="E38" s="19">
        <f>E37/$I$16</f>
        <v>0.45102040816326533</v>
      </c>
      <c r="F38" s="16"/>
      <c r="G38" s="17"/>
      <c r="L38" s="117" t="s">
        <v>34</v>
      </c>
      <c r="M38" s="13">
        <v>-50</v>
      </c>
    </row>
    <row r="39" spans="2:16" x14ac:dyDescent="0.3">
      <c r="L39" s="117" t="s">
        <v>258</v>
      </c>
      <c r="M39" s="13">
        <v>-7</v>
      </c>
    </row>
    <row r="40" spans="2:16" ht="15" thickBot="1" x14ac:dyDescent="0.35">
      <c r="L40" s="117" t="s">
        <v>273</v>
      </c>
      <c r="M40" s="116">
        <v>-500</v>
      </c>
    </row>
    <row r="41" spans="2:16" x14ac:dyDescent="0.3">
      <c r="B41" s="8" t="s">
        <v>108</v>
      </c>
      <c r="C41" s="9">
        <f>SUM(C44:C47)</f>
        <v>102</v>
      </c>
      <c r="D41" s="18"/>
      <c r="E41" s="9"/>
      <c r="F41" s="9"/>
      <c r="G41" s="10"/>
      <c r="I41" s="1"/>
      <c r="L41" s="117" t="s">
        <v>274</v>
      </c>
      <c r="M41" s="116">
        <v>-900</v>
      </c>
    </row>
    <row r="42" spans="2:16" x14ac:dyDescent="0.3">
      <c r="B42" s="11"/>
      <c r="G42" s="12"/>
      <c r="I42" s="1"/>
      <c r="L42" s="117" t="s">
        <v>275</v>
      </c>
      <c r="M42" s="116">
        <v>-557</v>
      </c>
      <c r="O42" s="4"/>
    </row>
    <row r="43" spans="2:16" x14ac:dyDescent="0.3">
      <c r="B43" s="11"/>
      <c r="C43" s="3" t="s">
        <v>15</v>
      </c>
      <c r="D43" s="3" t="s">
        <v>16</v>
      </c>
      <c r="E43" s="3" t="s">
        <v>17</v>
      </c>
      <c r="F43" s="3" t="s">
        <v>18</v>
      </c>
      <c r="G43" s="43" t="s">
        <v>20</v>
      </c>
      <c r="I43" s="1"/>
      <c r="L43" s="117" t="s">
        <v>276</v>
      </c>
      <c r="M43" s="116">
        <v>-557</v>
      </c>
    </row>
    <row r="44" spans="2:16" ht="15" thickBot="1" x14ac:dyDescent="0.35">
      <c r="B44" s="44" t="s">
        <v>106</v>
      </c>
      <c r="C44" s="1">
        <v>70</v>
      </c>
      <c r="D44" s="1">
        <v>4</v>
      </c>
      <c r="E44" s="1">
        <f>C44*D44</f>
        <v>280</v>
      </c>
      <c r="F44" s="4">
        <v>75</v>
      </c>
      <c r="G44" s="13">
        <f>C44*F44</f>
        <v>5250</v>
      </c>
      <c r="I44" s="1"/>
      <c r="L44" s="118" t="s">
        <v>259</v>
      </c>
      <c r="M44" s="119">
        <v>-500</v>
      </c>
    </row>
    <row r="45" spans="2:16" ht="15" thickBot="1" x14ac:dyDescent="0.35">
      <c r="B45" s="44" t="s">
        <v>106</v>
      </c>
      <c r="C45" s="1">
        <v>12</v>
      </c>
      <c r="D45" s="1">
        <v>8</v>
      </c>
      <c r="E45" s="1">
        <f>C45*D45</f>
        <v>96</v>
      </c>
      <c r="F45" s="4">
        <v>140</v>
      </c>
      <c r="G45" s="13">
        <f>C45*F45</f>
        <v>1680</v>
      </c>
      <c r="I45" s="1"/>
      <c r="M45" s="27">
        <f>SUM(M32:M44)</f>
        <v>-4648.22</v>
      </c>
      <c r="O45" s="30">
        <f>M45/(560/5)</f>
        <v>-41.501964285714287</v>
      </c>
      <c r="P45" s="3" t="s">
        <v>295</v>
      </c>
    </row>
    <row r="46" spans="2:16" x14ac:dyDescent="0.3">
      <c r="B46" s="44" t="s">
        <v>291</v>
      </c>
      <c r="C46" s="1">
        <v>10</v>
      </c>
      <c r="D46" s="1">
        <v>2</v>
      </c>
      <c r="E46" s="1">
        <f>C46*D46</f>
        <v>20</v>
      </c>
      <c r="F46" s="4">
        <v>90</v>
      </c>
      <c r="G46" s="13">
        <f>C46*F46</f>
        <v>900</v>
      </c>
      <c r="I46" s="1"/>
      <c r="O46" s="4">
        <v>-20</v>
      </c>
      <c r="P46" s="3" t="s">
        <v>296</v>
      </c>
    </row>
    <row r="47" spans="2:16" x14ac:dyDescent="0.3">
      <c r="B47" s="44" t="s">
        <v>292</v>
      </c>
      <c r="C47" s="1">
        <v>10</v>
      </c>
      <c r="D47" s="1">
        <v>1</v>
      </c>
      <c r="E47" s="1">
        <f>C47*D47</f>
        <v>10</v>
      </c>
      <c r="F47" s="4">
        <v>170</v>
      </c>
      <c r="G47" s="13">
        <f>C47*F47</f>
        <v>1700</v>
      </c>
      <c r="I47" s="1"/>
    </row>
    <row r="48" spans="2:16" x14ac:dyDescent="0.3">
      <c r="B48" s="11"/>
      <c r="E48" s="3">
        <f>SUM(E44:E47)</f>
        <v>406</v>
      </c>
      <c r="G48" s="14">
        <f>SUM(G44:G47)*0.77</f>
        <v>7338.1</v>
      </c>
    </row>
    <row r="49" spans="2:7" ht="15" thickBot="1" x14ac:dyDescent="0.35">
      <c r="B49" s="15"/>
      <c r="C49" s="16"/>
      <c r="D49" s="16"/>
      <c r="E49" s="19">
        <f>E48/$I$16</f>
        <v>0.41428571428571431</v>
      </c>
      <c r="F49" s="16"/>
      <c r="G49" s="17"/>
    </row>
    <row r="51" spans="2:7" ht="15" thickBot="1" x14ac:dyDescent="0.35"/>
    <row r="52" spans="2:7" x14ac:dyDescent="0.3">
      <c r="B52" s="8" t="s">
        <v>108</v>
      </c>
      <c r="C52" s="9">
        <f>SUM(C55:C58)</f>
        <v>90</v>
      </c>
      <c r="D52" s="36" t="s">
        <v>72</v>
      </c>
      <c r="E52" s="9"/>
      <c r="F52" s="9"/>
      <c r="G52" s="10"/>
    </row>
    <row r="53" spans="2:7" x14ac:dyDescent="0.3">
      <c r="B53" s="11"/>
      <c r="G53" s="12"/>
    </row>
    <row r="54" spans="2:7" x14ac:dyDescent="0.3">
      <c r="B54" s="11"/>
      <c r="C54" s="3" t="s">
        <v>15</v>
      </c>
      <c r="D54" s="3" t="s">
        <v>16</v>
      </c>
      <c r="E54" s="3" t="s">
        <v>17</v>
      </c>
      <c r="F54" s="3" t="s">
        <v>18</v>
      </c>
      <c r="G54" s="43" t="s">
        <v>20</v>
      </c>
    </row>
    <row r="55" spans="2:7" x14ac:dyDescent="0.3">
      <c r="B55" s="44" t="s">
        <v>106</v>
      </c>
      <c r="C55" s="1">
        <v>60</v>
      </c>
      <c r="D55" s="1">
        <v>4</v>
      </c>
      <c r="E55" s="1">
        <f>C55*D55</f>
        <v>240</v>
      </c>
      <c r="F55" s="4">
        <v>75</v>
      </c>
      <c r="G55" s="13">
        <f>C55*F55</f>
        <v>4500</v>
      </c>
    </row>
    <row r="56" spans="2:7" x14ac:dyDescent="0.3">
      <c r="B56" s="44" t="s">
        <v>106</v>
      </c>
      <c r="C56" s="1">
        <v>10</v>
      </c>
      <c r="D56" s="1">
        <v>8</v>
      </c>
      <c r="E56" s="1">
        <f>C56*D56</f>
        <v>80</v>
      </c>
      <c r="F56" s="4">
        <v>140</v>
      </c>
      <c r="G56" s="13">
        <f>C56*F56</f>
        <v>1400</v>
      </c>
    </row>
    <row r="57" spans="2:7" x14ac:dyDescent="0.3">
      <c r="B57" s="44" t="s">
        <v>291</v>
      </c>
      <c r="C57" s="1">
        <v>10</v>
      </c>
      <c r="D57" s="1">
        <v>2</v>
      </c>
      <c r="E57" s="1">
        <f>C57*D57</f>
        <v>20</v>
      </c>
      <c r="F57" s="4">
        <v>25</v>
      </c>
      <c r="G57" s="13">
        <f>C57*F57</f>
        <v>250</v>
      </c>
    </row>
    <row r="58" spans="2:7" x14ac:dyDescent="0.3">
      <c r="B58" s="44" t="s">
        <v>292</v>
      </c>
      <c r="C58" s="1">
        <v>10</v>
      </c>
      <c r="D58" s="1">
        <v>1</v>
      </c>
      <c r="E58" s="1">
        <f>C58*D58</f>
        <v>10</v>
      </c>
      <c r="F58" s="4">
        <v>8</v>
      </c>
      <c r="G58" s="13">
        <f>C58*F58</f>
        <v>80</v>
      </c>
    </row>
    <row r="59" spans="2:7" x14ac:dyDescent="0.3">
      <c r="B59" s="11"/>
      <c r="E59" s="3">
        <f>SUM(E55:E58)</f>
        <v>350</v>
      </c>
      <c r="G59" s="14">
        <f>SUM(G55:G58)*0.77</f>
        <v>4797.1000000000004</v>
      </c>
    </row>
    <row r="60" spans="2:7" ht="15" thickBot="1" x14ac:dyDescent="0.35">
      <c r="B60" s="15"/>
      <c r="C60" s="16"/>
      <c r="D60" s="16"/>
      <c r="E60" s="19">
        <f>E59/$I$16</f>
        <v>0.35714285714285715</v>
      </c>
      <c r="F60" s="16"/>
      <c r="G60" s="17"/>
    </row>
    <row r="67" spans="2:2" x14ac:dyDescent="0.3">
      <c r="B67" s="2" t="s">
        <v>450</v>
      </c>
    </row>
    <row r="68" spans="2:2" x14ac:dyDescent="0.3">
      <c r="B68" s="2" t="s">
        <v>449</v>
      </c>
    </row>
    <row r="69" spans="2:2" x14ac:dyDescent="0.3">
      <c r="B69" s="2" t="s">
        <v>451</v>
      </c>
    </row>
    <row r="70" spans="2:2" x14ac:dyDescent="0.3">
      <c r="B70" s="2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9DBF-D1C2-4AE9-8810-DD7CCE4342E4}">
  <dimension ref="A1:L104"/>
  <sheetViews>
    <sheetView zoomScale="103" zoomScaleNormal="100" workbookViewId="0">
      <selection activeCell="F15" sqref="F15"/>
    </sheetView>
  </sheetViews>
  <sheetFormatPr baseColWidth="10" defaultColWidth="12.44140625" defaultRowHeight="14.4" x14ac:dyDescent="0.3"/>
  <cols>
    <col min="1" max="1" width="12.44140625" style="1"/>
    <col min="2" max="2" width="27.44140625" style="1" customWidth="1"/>
    <col min="3" max="3" width="13.44140625" style="1" customWidth="1"/>
    <col min="4" max="4" width="12" style="1" bestFit="1" customWidth="1"/>
    <col min="5" max="5" width="24.44140625" style="1" customWidth="1"/>
    <col min="6" max="6" width="15.6640625" style="1" customWidth="1"/>
    <col min="7" max="7" width="10.77734375" style="1" customWidth="1"/>
    <col min="8" max="8" width="24" style="1" bestFit="1" customWidth="1"/>
    <col min="9" max="9" width="12.44140625" style="1"/>
    <col min="10" max="10" width="9.44140625" style="1" customWidth="1"/>
    <col min="11" max="11" width="24" style="1" customWidth="1"/>
    <col min="12" max="16384" width="12.44140625" style="1"/>
  </cols>
  <sheetData>
    <row r="1" spans="2:11" ht="15" thickBot="1" x14ac:dyDescent="0.35"/>
    <row r="2" spans="2:11" ht="15" thickBot="1" x14ac:dyDescent="0.35">
      <c r="B2" s="29" t="s">
        <v>210</v>
      </c>
    </row>
    <row r="3" spans="2:11" ht="15" thickBot="1" x14ac:dyDescent="0.35"/>
    <row r="4" spans="2:11" ht="55.8" customHeight="1" thickBot="1" x14ac:dyDescent="0.35">
      <c r="B4" s="96" t="s">
        <v>182</v>
      </c>
      <c r="C4" s="172" t="s">
        <v>271</v>
      </c>
      <c r="D4" s="173"/>
      <c r="E4" s="173"/>
      <c r="F4" s="173"/>
      <c r="G4" s="173"/>
      <c r="H4" s="173"/>
      <c r="I4" s="173"/>
      <c r="J4" s="173"/>
      <c r="K4" s="174"/>
    </row>
    <row r="5" spans="2:11" ht="55.8" customHeight="1" thickBot="1" x14ac:dyDescent="0.35">
      <c r="B5" s="96" t="s">
        <v>183</v>
      </c>
      <c r="C5" s="172" t="s">
        <v>272</v>
      </c>
      <c r="D5" s="173"/>
      <c r="E5" s="173"/>
      <c r="F5" s="173"/>
      <c r="G5" s="173"/>
      <c r="H5" s="173"/>
      <c r="I5" s="173"/>
      <c r="J5" s="173"/>
      <c r="K5" s="174"/>
    </row>
    <row r="6" spans="2:11" ht="15.6" customHeight="1" x14ac:dyDescent="0.3">
      <c r="B6" s="178" t="s">
        <v>184</v>
      </c>
      <c r="C6" s="175" t="s">
        <v>185</v>
      </c>
      <c r="D6" s="176"/>
      <c r="E6" s="176"/>
      <c r="F6" s="176"/>
      <c r="G6" s="176"/>
      <c r="H6" s="176"/>
      <c r="I6" s="176"/>
      <c r="J6" s="176"/>
      <c r="K6" s="177"/>
    </row>
    <row r="7" spans="2:11" ht="15.6" customHeight="1" x14ac:dyDescent="0.3">
      <c r="B7" s="179"/>
      <c r="C7" s="181" t="s">
        <v>186</v>
      </c>
      <c r="D7" s="182"/>
      <c r="E7" s="182"/>
      <c r="F7" s="182"/>
      <c r="G7" s="182"/>
      <c r="H7" s="182"/>
      <c r="I7" s="182"/>
      <c r="J7" s="182"/>
      <c r="K7" s="183"/>
    </row>
    <row r="8" spans="2:11" ht="15.6" customHeight="1" x14ac:dyDescent="0.3">
      <c r="B8" s="179"/>
      <c r="C8" s="181" t="s">
        <v>187</v>
      </c>
      <c r="D8" s="182"/>
      <c r="E8" s="182"/>
      <c r="F8" s="182"/>
      <c r="G8" s="182"/>
      <c r="H8" s="182"/>
      <c r="I8" s="182"/>
      <c r="J8" s="182"/>
      <c r="K8" s="183"/>
    </row>
    <row r="9" spans="2:11" ht="15.6" customHeight="1" x14ac:dyDescent="0.3">
      <c r="B9" s="179"/>
      <c r="C9" s="181" t="s">
        <v>188</v>
      </c>
      <c r="D9" s="182"/>
      <c r="E9" s="182"/>
      <c r="F9" s="182"/>
      <c r="G9" s="182"/>
      <c r="H9" s="182"/>
      <c r="I9" s="182"/>
      <c r="J9" s="182"/>
      <c r="K9" s="183"/>
    </row>
    <row r="10" spans="2:11" ht="15.6" customHeight="1" thickBot="1" x14ac:dyDescent="0.35">
      <c r="B10" s="180"/>
      <c r="C10" s="184" t="s">
        <v>189</v>
      </c>
      <c r="D10" s="185"/>
      <c r="E10" s="185"/>
      <c r="F10" s="185"/>
      <c r="G10" s="185"/>
      <c r="H10" s="185"/>
      <c r="I10" s="185"/>
      <c r="J10" s="185"/>
      <c r="K10" s="186"/>
    </row>
    <row r="12" spans="2:11" ht="15" thickBot="1" x14ac:dyDescent="0.35"/>
    <row r="13" spans="2:11" ht="15" thickBot="1" x14ac:dyDescent="0.35">
      <c r="B13" s="29" t="s">
        <v>211</v>
      </c>
    </row>
    <row r="14" spans="2:11" ht="15" thickBot="1" x14ac:dyDescent="0.35"/>
    <row r="15" spans="2:11" x14ac:dyDescent="0.3">
      <c r="B15" s="165" t="s">
        <v>191</v>
      </c>
      <c r="C15" s="161" t="s">
        <v>194</v>
      </c>
      <c r="D15" s="161"/>
      <c r="E15" s="162"/>
    </row>
    <row r="16" spans="2:11" x14ac:dyDescent="0.3">
      <c r="B16" s="166"/>
      <c r="C16" s="163" t="s">
        <v>192</v>
      </c>
      <c r="D16" s="163"/>
      <c r="E16" s="164"/>
    </row>
    <row r="17" spans="2:5" ht="15" thickBot="1" x14ac:dyDescent="0.35">
      <c r="B17" s="167"/>
      <c r="C17" s="168" t="s">
        <v>197</v>
      </c>
      <c r="D17" s="168"/>
      <c r="E17" s="169"/>
    </row>
    <row r="18" spans="2:5" ht="15" thickBot="1" x14ac:dyDescent="0.35">
      <c r="B18" s="32"/>
      <c r="C18" s="2"/>
    </row>
    <row r="19" spans="2:5" x14ac:dyDescent="0.3">
      <c r="B19" s="165" t="s">
        <v>193</v>
      </c>
      <c r="C19" s="161" t="s">
        <v>194</v>
      </c>
      <c r="D19" s="161"/>
      <c r="E19" s="162"/>
    </row>
    <row r="20" spans="2:5" x14ac:dyDescent="0.3">
      <c r="B20" s="166"/>
      <c r="C20" s="163" t="s">
        <v>192</v>
      </c>
      <c r="D20" s="163"/>
      <c r="E20" s="164"/>
    </row>
    <row r="21" spans="2:5" x14ac:dyDescent="0.3">
      <c r="B21" s="166"/>
      <c r="C21" s="170" t="s">
        <v>198</v>
      </c>
      <c r="D21" s="163"/>
      <c r="E21" s="164"/>
    </row>
    <row r="22" spans="2:5" x14ac:dyDescent="0.3">
      <c r="B22" s="166"/>
      <c r="C22" s="170" t="s">
        <v>217</v>
      </c>
      <c r="D22" s="163"/>
      <c r="E22" s="164"/>
    </row>
    <row r="23" spans="2:5" ht="15" thickBot="1" x14ac:dyDescent="0.35">
      <c r="B23" s="167"/>
      <c r="C23" s="171" t="s">
        <v>196</v>
      </c>
      <c r="D23" s="168"/>
      <c r="E23" s="169"/>
    </row>
    <row r="24" spans="2:5" ht="15" thickBot="1" x14ac:dyDescent="0.35">
      <c r="C24" s="2"/>
    </row>
    <row r="25" spans="2:5" x14ac:dyDescent="0.3">
      <c r="B25" s="165" t="s">
        <v>195</v>
      </c>
      <c r="C25" s="161" t="s">
        <v>194</v>
      </c>
      <c r="D25" s="161"/>
      <c r="E25" s="162"/>
    </row>
    <row r="26" spans="2:5" x14ac:dyDescent="0.3">
      <c r="B26" s="166"/>
      <c r="C26" s="163" t="s">
        <v>192</v>
      </c>
      <c r="D26" s="163"/>
      <c r="E26" s="164"/>
    </row>
    <row r="27" spans="2:5" x14ac:dyDescent="0.3">
      <c r="B27" s="166"/>
      <c r="C27" s="163" t="s">
        <v>196</v>
      </c>
      <c r="D27" s="163"/>
      <c r="E27" s="164"/>
    </row>
    <row r="28" spans="2:5" ht="15" thickBot="1" x14ac:dyDescent="0.35">
      <c r="B28" s="167"/>
      <c r="C28" s="168" t="s">
        <v>218</v>
      </c>
      <c r="D28" s="168"/>
      <c r="E28" s="169"/>
    </row>
    <row r="29" spans="2:5" x14ac:dyDescent="0.3">
      <c r="C29" s="2"/>
    </row>
    <row r="30" spans="2:5" ht="15" thickBot="1" x14ac:dyDescent="0.35">
      <c r="C30" s="2"/>
    </row>
    <row r="31" spans="2:5" ht="15" thickBot="1" x14ac:dyDescent="0.35">
      <c r="B31" s="29" t="s">
        <v>64</v>
      </c>
    </row>
    <row r="32" spans="2:5" x14ac:dyDescent="0.3">
      <c r="B32" s="2" t="s">
        <v>65</v>
      </c>
    </row>
    <row r="33" spans="2:5" x14ac:dyDescent="0.3">
      <c r="B33" s="2" t="s">
        <v>190</v>
      </c>
    </row>
    <row r="34" spans="2:5" x14ac:dyDescent="0.3">
      <c r="B34" s="2" t="s">
        <v>66</v>
      </c>
    </row>
    <row r="35" spans="2:5" x14ac:dyDescent="0.3">
      <c r="B35" s="2" t="s">
        <v>71</v>
      </c>
    </row>
    <row r="36" spans="2:5" x14ac:dyDescent="0.3">
      <c r="B36" s="2" t="s">
        <v>67</v>
      </c>
    </row>
    <row r="39" spans="2:5" ht="15" thickBot="1" x14ac:dyDescent="0.35">
      <c r="B39" s="29" t="s">
        <v>63</v>
      </c>
    </row>
    <row r="40" spans="2:5" x14ac:dyDescent="0.3">
      <c r="C40" s="2" t="s">
        <v>79</v>
      </c>
      <c r="D40" s="1" t="s">
        <v>80</v>
      </c>
    </row>
    <row r="41" spans="2:5" x14ac:dyDescent="0.3">
      <c r="B41" s="1" t="s">
        <v>3</v>
      </c>
      <c r="C41" s="4">
        <v>75</v>
      </c>
      <c r="D41" s="30">
        <f>C41/4</f>
        <v>18.75</v>
      </c>
      <c r="E41" s="2"/>
    </row>
    <row r="42" spans="2:5" x14ac:dyDescent="0.3">
      <c r="B42" s="1" t="s">
        <v>0</v>
      </c>
      <c r="C42" s="4">
        <v>140</v>
      </c>
      <c r="D42" s="30">
        <f>C42/8</f>
        <v>17.5</v>
      </c>
      <c r="E42" s="35"/>
    </row>
    <row r="43" spans="2:5" x14ac:dyDescent="0.3">
      <c r="B43" s="1" t="s">
        <v>2</v>
      </c>
      <c r="C43" s="4">
        <v>170</v>
      </c>
      <c r="D43" s="30">
        <f>C43/12</f>
        <v>14.166666666666666</v>
      </c>
    </row>
    <row r="44" spans="2:5" x14ac:dyDescent="0.3">
      <c r="B44" s="31" t="s">
        <v>75</v>
      </c>
      <c r="C44" s="4"/>
    </row>
    <row r="45" spans="2:5" x14ac:dyDescent="0.3">
      <c r="C45" s="4"/>
    </row>
    <row r="46" spans="2:5" ht="15" thickBot="1" x14ac:dyDescent="0.35">
      <c r="C46" s="4"/>
    </row>
    <row r="47" spans="2:5" ht="15" thickBot="1" x14ac:dyDescent="0.35">
      <c r="B47" s="29" t="s">
        <v>212</v>
      </c>
      <c r="C47" s="4"/>
    </row>
    <row r="48" spans="2:5" x14ac:dyDescent="0.3">
      <c r="B48" s="1" t="s">
        <v>73</v>
      </c>
      <c r="C48" s="4">
        <v>25</v>
      </c>
    </row>
    <row r="49" spans="1:12" x14ac:dyDescent="0.3">
      <c r="B49" s="1" t="s">
        <v>74</v>
      </c>
      <c r="C49" s="4"/>
    </row>
    <row r="50" spans="1:12" x14ac:dyDescent="0.3">
      <c r="B50" s="1" t="s">
        <v>77</v>
      </c>
      <c r="C50" s="4"/>
    </row>
    <row r="51" spans="1:12" x14ac:dyDescent="0.3">
      <c r="B51" s="1" t="s">
        <v>76</v>
      </c>
      <c r="C51" s="4"/>
    </row>
    <row r="52" spans="1:12" x14ac:dyDescent="0.3">
      <c r="B52" s="1" t="s">
        <v>78</v>
      </c>
      <c r="C52" s="4"/>
    </row>
    <row r="53" spans="1:12" x14ac:dyDescent="0.3">
      <c r="C53" s="4"/>
    </row>
    <row r="54" spans="1:12" ht="15" thickBot="1" x14ac:dyDescent="0.35">
      <c r="A54" s="4"/>
    </row>
    <row r="55" spans="1:12" ht="15" thickBot="1" x14ac:dyDescent="0.35">
      <c r="A55" s="4"/>
      <c r="B55" s="29" t="s">
        <v>68</v>
      </c>
    </row>
    <row r="56" spans="1:12" ht="15" thickBot="1" x14ac:dyDescent="0.35">
      <c r="A56" s="4"/>
    </row>
    <row r="57" spans="1:12" ht="15" thickBot="1" x14ac:dyDescent="0.35">
      <c r="A57" s="4"/>
      <c r="B57" s="26" t="s">
        <v>60</v>
      </c>
      <c r="E57" s="26" t="s">
        <v>87</v>
      </c>
      <c r="H57" s="26" t="s">
        <v>61</v>
      </c>
      <c r="K57" s="26" t="s">
        <v>62</v>
      </c>
      <c r="L57" s="3" t="s">
        <v>59</v>
      </c>
    </row>
    <row r="58" spans="1:12" x14ac:dyDescent="0.3">
      <c r="A58" s="4"/>
      <c r="B58" s="8" t="s">
        <v>32</v>
      </c>
      <c r="C58" s="25">
        <v>480</v>
      </c>
      <c r="E58" s="8" t="s">
        <v>32</v>
      </c>
      <c r="F58" s="25">
        <v>480</v>
      </c>
      <c r="H58" s="8" t="s">
        <v>32</v>
      </c>
      <c r="I58" s="25">
        <v>480</v>
      </c>
      <c r="K58" s="8" t="s">
        <v>32</v>
      </c>
      <c r="L58" s="25">
        <v>480</v>
      </c>
    </row>
    <row r="59" spans="1:12" x14ac:dyDescent="0.3">
      <c r="A59" s="4"/>
      <c r="B59" s="11" t="s">
        <v>33</v>
      </c>
      <c r="C59" s="13">
        <v>75</v>
      </c>
      <c r="E59" s="11" t="s">
        <v>33</v>
      </c>
      <c r="F59" s="13">
        <v>75</v>
      </c>
      <c r="H59" s="11" t="s">
        <v>33</v>
      </c>
      <c r="I59" s="13">
        <v>75</v>
      </c>
      <c r="K59" s="11" t="s">
        <v>33</v>
      </c>
      <c r="L59" s="13">
        <v>75</v>
      </c>
    </row>
    <row r="60" spans="1:12" x14ac:dyDescent="0.3">
      <c r="A60" s="4"/>
      <c r="B60" s="11" t="s">
        <v>34</v>
      </c>
      <c r="C60" s="13">
        <v>30</v>
      </c>
      <c r="E60" s="11" t="s">
        <v>34</v>
      </c>
      <c r="F60" s="13">
        <v>30</v>
      </c>
      <c r="H60" s="11" t="s">
        <v>34</v>
      </c>
      <c r="I60" s="13">
        <v>30</v>
      </c>
      <c r="K60" s="11" t="s">
        <v>34</v>
      </c>
      <c r="L60" s="13">
        <v>30</v>
      </c>
    </row>
    <row r="61" spans="1:12" x14ac:dyDescent="0.3">
      <c r="A61" s="4"/>
      <c r="B61" s="11" t="s">
        <v>35</v>
      </c>
      <c r="C61" s="13">
        <v>333</v>
      </c>
      <c r="D61" s="5"/>
      <c r="E61" s="11" t="s">
        <v>35</v>
      </c>
      <c r="F61" s="13">
        <v>333</v>
      </c>
      <c r="H61" s="11" t="s">
        <v>35</v>
      </c>
      <c r="I61" s="13">
        <v>333</v>
      </c>
      <c r="K61" s="11" t="s">
        <v>35</v>
      </c>
      <c r="L61" s="13">
        <v>333</v>
      </c>
    </row>
    <row r="62" spans="1:12" x14ac:dyDescent="0.3">
      <c r="A62" s="4"/>
      <c r="B62" s="11" t="s">
        <v>86</v>
      </c>
      <c r="C62" s="13">
        <v>50</v>
      </c>
      <c r="E62" s="11" t="s">
        <v>86</v>
      </c>
      <c r="F62" s="13">
        <v>50</v>
      </c>
      <c r="H62" s="11" t="s">
        <v>86</v>
      </c>
      <c r="I62" s="13">
        <v>50</v>
      </c>
      <c r="K62" s="11" t="s">
        <v>86</v>
      </c>
      <c r="L62" s="13">
        <v>50</v>
      </c>
    </row>
    <row r="63" spans="1:12" x14ac:dyDescent="0.3">
      <c r="A63" s="4"/>
      <c r="B63" s="11" t="s">
        <v>36</v>
      </c>
      <c r="C63" s="13">
        <v>159</v>
      </c>
      <c r="E63" s="11" t="s">
        <v>36</v>
      </c>
      <c r="F63" s="13">
        <v>159</v>
      </c>
      <c r="H63" s="11" t="s">
        <v>36</v>
      </c>
      <c r="I63" s="13">
        <v>159</v>
      </c>
      <c r="K63" s="11" t="s">
        <v>36</v>
      </c>
      <c r="L63" s="13">
        <v>159</v>
      </c>
    </row>
    <row r="64" spans="1:12" x14ac:dyDescent="0.3">
      <c r="A64" s="4"/>
      <c r="B64" s="11" t="s">
        <v>55</v>
      </c>
      <c r="C64" s="13">
        <v>30</v>
      </c>
      <c r="E64" s="11" t="s">
        <v>55</v>
      </c>
      <c r="F64" s="13">
        <v>30</v>
      </c>
      <c r="H64" s="11" t="s">
        <v>55</v>
      </c>
      <c r="I64" s="13">
        <v>30</v>
      </c>
      <c r="K64" s="11" t="s">
        <v>55</v>
      </c>
      <c r="L64" s="13">
        <v>30</v>
      </c>
    </row>
    <row r="65" spans="1:12" x14ac:dyDescent="0.3">
      <c r="A65" s="4"/>
      <c r="B65" s="11" t="s">
        <v>56</v>
      </c>
      <c r="C65" s="13">
        <v>30</v>
      </c>
      <c r="E65" s="11" t="s">
        <v>56</v>
      </c>
      <c r="F65" s="13">
        <v>30</v>
      </c>
      <c r="H65" s="11" t="s">
        <v>56</v>
      </c>
      <c r="I65" s="13">
        <v>30</v>
      </c>
      <c r="K65" s="11" t="s">
        <v>56</v>
      </c>
      <c r="L65" s="13">
        <v>30</v>
      </c>
    </row>
    <row r="66" spans="1:12" x14ac:dyDescent="0.3">
      <c r="A66" s="4"/>
      <c r="B66" s="44" t="s">
        <v>57</v>
      </c>
      <c r="C66" s="14">
        <v>40</v>
      </c>
      <c r="E66" s="11" t="s">
        <v>57</v>
      </c>
      <c r="F66" s="13">
        <v>40</v>
      </c>
      <c r="H66" s="11" t="s">
        <v>57</v>
      </c>
      <c r="I66" s="13">
        <v>40</v>
      </c>
      <c r="K66" s="11" t="s">
        <v>57</v>
      </c>
      <c r="L66" s="13">
        <v>40</v>
      </c>
    </row>
    <row r="67" spans="1:12" x14ac:dyDescent="0.3">
      <c r="A67" s="4"/>
      <c r="B67" s="11" t="s">
        <v>58</v>
      </c>
      <c r="C67" s="13">
        <v>200</v>
      </c>
      <c r="E67" s="11" t="s">
        <v>58</v>
      </c>
      <c r="F67" s="13">
        <v>200</v>
      </c>
      <c r="H67" s="11" t="s">
        <v>58</v>
      </c>
      <c r="I67" s="13">
        <v>200</v>
      </c>
      <c r="K67" s="11" t="s">
        <v>58</v>
      </c>
      <c r="L67" s="13">
        <v>200</v>
      </c>
    </row>
    <row r="68" spans="1:12" ht="15" thickBot="1" x14ac:dyDescent="0.35">
      <c r="A68" s="4"/>
      <c r="B68" s="15" t="s">
        <v>30</v>
      </c>
      <c r="C68" s="22">
        <f>(25000/12)*1.33</f>
        <v>2770.8333333333335</v>
      </c>
      <c r="E68" s="15" t="s">
        <v>30</v>
      </c>
      <c r="F68" s="22">
        <f>C68*1.5</f>
        <v>4156.25</v>
      </c>
      <c r="H68" s="15" t="s">
        <v>30</v>
      </c>
      <c r="I68" s="22">
        <f>C68*2</f>
        <v>5541.666666666667</v>
      </c>
      <c r="K68" s="15" t="s">
        <v>30</v>
      </c>
      <c r="L68" s="22">
        <f>C68*2.3</f>
        <v>6372.916666666667</v>
      </c>
    </row>
    <row r="69" spans="1:12" ht="15" thickBot="1" x14ac:dyDescent="0.35">
      <c r="A69" s="4"/>
      <c r="C69" s="27">
        <f>SUM(C58:C68)</f>
        <v>4197.8333333333339</v>
      </c>
      <c r="F69" s="27">
        <f>SUM(F58:F68)</f>
        <v>5583.25</v>
      </c>
      <c r="I69" s="27">
        <f>SUM(I58:I68)</f>
        <v>6968.666666666667</v>
      </c>
      <c r="L69" s="27">
        <f>SUM(L58:L68)</f>
        <v>7799.916666666667</v>
      </c>
    </row>
    <row r="70" spans="1:12" x14ac:dyDescent="0.3">
      <c r="A70" s="4"/>
    </row>
    <row r="71" spans="1:12" ht="15" thickBot="1" x14ac:dyDescent="0.35">
      <c r="A71" s="4"/>
    </row>
    <row r="72" spans="1:12" ht="15" thickBot="1" x14ac:dyDescent="0.35">
      <c r="A72" s="4"/>
      <c r="B72" s="29" t="s">
        <v>81</v>
      </c>
      <c r="C72" s="45"/>
      <c r="D72" s="32"/>
      <c r="E72" s="34" t="s">
        <v>124</v>
      </c>
      <c r="F72" s="34" t="s">
        <v>132</v>
      </c>
      <c r="G72" s="34" t="s">
        <v>128</v>
      </c>
      <c r="H72" s="34" t="s">
        <v>126</v>
      </c>
      <c r="I72" s="34" t="s">
        <v>127</v>
      </c>
      <c r="J72" s="34" t="s">
        <v>129</v>
      </c>
      <c r="K72" s="34" t="s">
        <v>130</v>
      </c>
    </row>
    <row r="73" spans="1:12" x14ac:dyDescent="0.3">
      <c r="A73" s="4"/>
      <c r="B73" s="54" t="s">
        <v>123</v>
      </c>
      <c r="C73" s="55">
        <v>1200</v>
      </c>
      <c r="D73" s="32"/>
      <c r="E73" s="32" t="s">
        <v>125</v>
      </c>
      <c r="F73" s="32">
        <v>81000255</v>
      </c>
      <c r="G73" s="32">
        <v>5</v>
      </c>
      <c r="H73" s="33">
        <v>3210</v>
      </c>
      <c r="I73" s="33">
        <f t="shared" ref="I73:I78" si="0">H73*1.21</f>
        <v>3884.1</v>
      </c>
      <c r="J73" s="33">
        <f t="shared" ref="J73:J78" si="1">G73*H73</f>
        <v>16050</v>
      </c>
      <c r="K73" s="33">
        <f t="shared" ref="K73:K78" si="2">G73*I73</f>
        <v>19420.5</v>
      </c>
    </row>
    <row r="74" spans="1:12" x14ac:dyDescent="0.3">
      <c r="A74" s="4"/>
      <c r="B74" s="54" t="s">
        <v>121</v>
      </c>
      <c r="C74" s="55">
        <v>3000</v>
      </c>
      <c r="D74" s="32"/>
      <c r="E74" s="32" t="s">
        <v>131</v>
      </c>
      <c r="F74" s="32">
        <v>81000004</v>
      </c>
      <c r="G74" s="32">
        <v>7</v>
      </c>
      <c r="H74" s="33">
        <v>25</v>
      </c>
      <c r="I74" s="33">
        <f t="shared" si="0"/>
        <v>30.25</v>
      </c>
      <c r="J74" s="33">
        <f t="shared" si="1"/>
        <v>175</v>
      </c>
      <c r="K74" s="33">
        <f t="shared" si="2"/>
        <v>211.75</v>
      </c>
    </row>
    <row r="75" spans="1:12" x14ac:dyDescent="0.3">
      <c r="A75" s="4"/>
      <c r="B75" s="32" t="s">
        <v>85</v>
      </c>
      <c r="C75" s="33">
        <v>25000</v>
      </c>
      <c r="D75" s="32"/>
      <c r="E75" s="32" t="s">
        <v>133</v>
      </c>
      <c r="F75" s="32">
        <v>81000051</v>
      </c>
      <c r="G75" s="32">
        <v>7</v>
      </c>
      <c r="H75" s="33">
        <v>6</v>
      </c>
      <c r="I75" s="33">
        <f t="shared" si="0"/>
        <v>7.26</v>
      </c>
      <c r="J75" s="33">
        <f t="shared" si="1"/>
        <v>42</v>
      </c>
      <c r="K75" s="33">
        <f t="shared" si="2"/>
        <v>50.82</v>
      </c>
    </row>
    <row r="76" spans="1:12" x14ac:dyDescent="0.3">
      <c r="A76" s="4"/>
      <c r="B76" s="32" t="s">
        <v>143</v>
      </c>
      <c r="C76" s="33">
        <v>20000</v>
      </c>
      <c r="D76" s="32"/>
      <c r="E76" s="32" t="s">
        <v>142</v>
      </c>
      <c r="F76" s="32">
        <v>81000013</v>
      </c>
      <c r="G76" s="32">
        <v>7</v>
      </c>
      <c r="H76" s="33">
        <v>25</v>
      </c>
      <c r="I76" s="33">
        <f t="shared" si="0"/>
        <v>30.25</v>
      </c>
      <c r="J76" s="33">
        <f t="shared" si="1"/>
        <v>175</v>
      </c>
      <c r="K76" s="33">
        <f t="shared" si="2"/>
        <v>211.75</v>
      </c>
    </row>
    <row r="77" spans="1:12" x14ac:dyDescent="0.3">
      <c r="A77" s="4"/>
      <c r="B77" s="32" t="s">
        <v>105</v>
      </c>
      <c r="C77" s="33">
        <v>4500</v>
      </c>
      <c r="D77" s="32"/>
      <c r="E77" s="32" t="s">
        <v>134</v>
      </c>
      <c r="F77" s="32">
        <v>81000111</v>
      </c>
      <c r="G77" s="32">
        <v>7</v>
      </c>
      <c r="H77" s="33">
        <v>50</v>
      </c>
      <c r="I77" s="33">
        <f t="shared" si="0"/>
        <v>60.5</v>
      </c>
      <c r="J77" s="33">
        <f t="shared" si="1"/>
        <v>350</v>
      </c>
      <c r="K77" s="33">
        <f t="shared" si="2"/>
        <v>423.5</v>
      </c>
    </row>
    <row r="78" spans="1:12" x14ac:dyDescent="0.3">
      <c r="A78" s="4"/>
      <c r="B78" s="32" t="s">
        <v>122</v>
      </c>
      <c r="C78" s="33">
        <v>4000</v>
      </c>
      <c r="D78" s="32"/>
      <c r="E78" s="32" t="s">
        <v>135</v>
      </c>
      <c r="F78" s="32">
        <v>81000222</v>
      </c>
      <c r="G78" s="32">
        <v>1</v>
      </c>
      <c r="H78" s="33">
        <v>100</v>
      </c>
      <c r="I78" s="33">
        <f t="shared" si="0"/>
        <v>121</v>
      </c>
      <c r="J78" s="33">
        <f t="shared" si="1"/>
        <v>100</v>
      </c>
      <c r="K78" s="33">
        <f t="shared" si="2"/>
        <v>121</v>
      </c>
    </row>
    <row r="79" spans="1:12" x14ac:dyDescent="0.3">
      <c r="A79" s="4"/>
      <c r="B79" s="32" t="s">
        <v>115</v>
      </c>
      <c r="C79" s="33">
        <v>473</v>
      </c>
      <c r="D79" s="32"/>
      <c r="E79" s="56"/>
      <c r="F79" s="56"/>
      <c r="G79" s="56"/>
      <c r="H79" s="56"/>
      <c r="I79" s="56"/>
      <c r="J79" s="56"/>
      <c r="K79" s="46">
        <f>SUM(K73:K78)</f>
        <v>20439.32</v>
      </c>
    </row>
    <row r="80" spans="1:12" x14ac:dyDescent="0.3">
      <c r="A80" s="4"/>
      <c r="B80" s="32" t="s">
        <v>118</v>
      </c>
      <c r="C80" s="33">
        <f>4*20</f>
        <v>80</v>
      </c>
      <c r="D80" s="32"/>
      <c r="E80" s="56"/>
      <c r="F80" s="56"/>
      <c r="G80" s="56"/>
      <c r="H80" s="56"/>
      <c r="I80" s="56"/>
      <c r="J80" s="56"/>
      <c r="K80" s="56"/>
    </row>
    <row r="81" spans="1:11" x14ac:dyDescent="0.3">
      <c r="A81" s="4"/>
      <c r="B81" s="32" t="s">
        <v>119</v>
      </c>
      <c r="C81" s="33">
        <f>20*5.5</f>
        <v>110</v>
      </c>
      <c r="D81" s="32"/>
      <c r="E81" s="34" t="s">
        <v>136</v>
      </c>
      <c r="F81" s="34" t="s">
        <v>132</v>
      </c>
      <c r="G81" s="34" t="s">
        <v>128</v>
      </c>
      <c r="H81" s="34" t="s">
        <v>126</v>
      </c>
      <c r="I81" s="34" t="s">
        <v>127</v>
      </c>
      <c r="J81" s="34" t="s">
        <v>129</v>
      </c>
      <c r="K81" s="34" t="s">
        <v>130</v>
      </c>
    </row>
    <row r="82" spans="1:11" x14ac:dyDescent="0.3">
      <c r="A82" s="4"/>
      <c r="B82" s="32" t="s">
        <v>84</v>
      </c>
      <c r="C82" s="33">
        <v>150</v>
      </c>
      <c r="D82" s="32"/>
      <c r="E82" s="32" t="s">
        <v>137</v>
      </c>
      <c r="F82" s="32">
        <v>8336570</v>
      </c>
      <c r="G82" s="32">
        <v>6</v>
      </c>
      <c r="H82" s="38">
        <v>4.123966942148761</v>
      </c>
      <c r="I82" s="33">
        <f>H82*1.21</f>
        <v>4.9900000000000011</v>
      </c>
      <c r="J82" s="33">
        <f>G82*H82</f>
        <v>24.743801652892564</v>
      </c>
      <c r="K82" s="33">
        <f>G82*I82</f>
        <v>29.940000000000005</v>
      </c>
    </row>
    <row r="83" spans="1:11" x14ac:dyDescent="0.3">
      <c r="A83" s="4"/>
      <c r="B83" s="32" t="s">
        <v>82</v>
      </c>
      <c r="C83" s="33">
        <v>120</v>
      </c>
      <c r="D83" s="32"/>
      <c r="E83" s="32" t="s">
        <v>138</v>
      </c>
      <c r="F83" s="32">
        <v>8336571</v>
      </c>
      <c r="G83" s="32">
        <v>6</v>
      </c>
      <c r="H83" s="38">
        <v>8.2561983471074392</v>
      </c>
      <c r="I83" s="33">
        <f>H83*1.21</f>
        <v>9.99</v>
      </c>
      <c r="J83" s="33">
        <f>G83*H83</f>
        <v>49.537190082644635</v>
      </c>
      <c r="K83" s="33">
        <f>G83*I83</f>
        <v>59.94</v>
      </c>
    </row>
    <row r="84" spans="1:11" x14ac:dyDescent="0.3">
      <c r="A84" s="4"/>
      <c r="B84" s="32" t="s">
        <v>83</v>
      </c>
      <c r="C84" s="33">
        <v>1500</v>
      </c>
      <c r="D84" s="32"/>
      <c r="E84" s="32" t="s">
        <v>139</v>
      </c>
      <c r="F84" s="32">
        <v>8336573</v>
      </c>
      <c r="G84" s="32">
        <v>6</v>
      </c>
      <c r="H84" s="38">
        <v>12.388429752066116</v>
      </c>
      <c r="I84" s="33">
        <f>H84*1.21</f>
        <v>14.99</v>
      </c>
      <c r="J84" s="33">
        <f>G84*H84</f>
        <v>74.330578512396698</v>
      </c>
      <c r="K84" s="33">
        <f>G84*I84</f>
        <v>89.94</v>
      </c>
    </row>
    <row r="85" spans="1:11" x14ac:dyDescent="0.3">
      <c r="A85" s="4"/>
      <c r="B85" s="32" t="s">
        <v>104</v>
      </c>
      <c r="C85" s="33">
        <v>150</v>
      </c>
      <c r="D85" s="32"/>
      <c r="E85" s="32" t="s">
        <v>140</v>
      </c>
      <c r="F85" s="32">
        <v>8573670</v>
      </c>
      <c r="G85" s="32">
        <v>6</v>
      </c>
      <c r="H85" s="38">
        <v>16.520661157024794</v>
      </c>
      <c r="I85" s="33">
        <f>H85*1.21</f>
        <v>19.989999999999998</v>
      </c>
      <c r="J85" s="33">
        <f>G85*H85</f>
        <v>99.123966942148769</v>
      </c>
      <c r="K85" s="33">
        <f>G85*I85</f>
        <v>119.94</v>
      </c>
    </row>
    <row r="86" spans="1:11" x14ac:dyDescent="0.3">
      <c r="A86" s="4"/>
      <c r="B86" s="34" t="s">
        <v>120</v>
      </c>
      <c r="C86" s="46">
        <f>SUM(C73:C85)</f>
        <v>60283</v>
      </c>
      <c r="D86" s="32"/>
      <c r="E86" s="32" t="s">
        <v>141</v>
      </c>
      <c r="F86" s="32">
        <v>8573672</v>
      </c>
      <c r="G86" s="32">
        <v>6</v>
      </c>
      <c r="H86" s="38">
        <v>20.652892561983471</v>
      </c>
      <c r="I86" s="33">
        <f>H86*1.21</f>
        <v>24.99</v>
      </c>
      <c r="J86" s="33">
        <f>G86*H86</f>
        <v>123.91735537190083</v>
      </c>
      <c r="K86" s="33">
        <f>G86*I86</f>
        <v>149.94</v>
      </c>
    </row>
    <row r="87" spans="1:11" x14ac:dyDescent="0.3">
      <c r="A87" s="4"/>
      <c r="D87" s="32"/>
      <c r="E87" s="32"/>
      <c r="F87" s="32"/>
      <c r="G87" s="32"/>
      <c r="H87" s="38"/>
      <c r="I87" s="33"/>
      <c r="J87" s="33"/>
      <c r="K87" s="46">
        <f>SUM(K82:K86)</f>
        <v>449.7</v>
      </c>
    </row>
    <row r="88" spans="1:11" x14ac:dyDescent="0.3">
      <c r="A88" s="4"/>
      <c r="B88" s="56"/>
      <c r="C88" s="56"/>
      <c r="D88" s="56"/>
      <c r="E88" s="32"/>
      <c r="F88" s="32"/>
      <c r="G88" s="32"/>
      <c r="H88" s="38"/>
      <c r="I88" s="33"/>
      <c r="J88" s="33"/>
      <c r="K88" s="33"/>
    </row>
    <row r="89" spans="1:11" x14ac:dyDescent="0.3">
      <c r="A89" s="4"/>
      <c r="B89" s="32"/>
      <c r="C89" s="32"/>
      <c r="D89" s="32"/>
      <c r="E89" s="34" t="s">
        <v>109</v>
      </c>
      <c r="F89" s="32"/>
      <c r="G89" s="32"/>
      <c r="H89" s="32" t="s">
        <v>111</v>
      </c>
      <c r="I89" s="32"/>
      <c r="J89" s="33"/>
      <c r="K89" s="33"/>
    </row>
    <row r="90" spans="1:11" x14ac:dyDescent="0.3">
      <c r="A90" s="4"/>
      <c r="B90" s="56"/>
      <c r="C90" s="56"/>
      <c r="D90" s="56"/>
      <c r="E90" s="32" t="s">
        <v>117</v>
      </c>
      <c r="F90" s="33">
        <f>2.38*100</f>
        <v>238</v>
      </c>
      <c r="G90" s="32"/>
      <c r="H90" s="32" t="s">
        <v>112</v>
      </c>
      <c r="I90" s="33">
        <f>3.5*15</f>
        <v>52.5</v>
      </c>
      <c r="J90" s="33"/>
      <c r="K90" s="33"/>
    </row>
    <row r="91" spans="1:11" x14ac:dyDescent="0.3">
      <c r="A91" s="4"/>
      <c r="B91" s="56"/>
      <c r="C91" s="56"/>
      <c r="D91" s="56"/>
      <c r="E91" s="32" t="s">
        <v>110</v>
      </c>
      <c r="F91" s="33">
        <f>3.5*50</f>
        <v>175</v>
      </c>
      <c r="G91" s="32"/>
      <c r="H91" s="32" t="s">
        <v>113</v>
      </c>
      <c r="I91" s="33">
        <f>3.5*15</f>
        <v>52.5</v>
      </c>
      <c r="J91" s="56"/>
      <c r="K91" s="56"/>
    </row>
    <row r="92" spans="1:11" x14ac:dyDescent="0.3">
      <c r="A92" s="4"/>
      <c r="B92" s="56"/>
      <c r="C92" s="56"/>
      <c r="D92" s="56"/>
      <c r="E92" s="32"/>
      <c r="F92" s="33">
        <f ca="1">SUM(F90:F93)</f>
        <v>472.5</v>
      </c>
      <c r="G92" s="32"/>
      <c r="H92" s="32" t="s">
        <v>114</v>
      </c>
      <c r="I92" s="33">
        <f>3.5*15</f>
        <v>52.5</v>
      </c>
      <c r="J92" s="56"/>
      <c r="K92" s="56"/>
    </row>
    <row r="93" spans="1:11" x14ac:dyDescent="0.3">
      <c r="A93" s="4"/>
      <c r="B93" s="56"/>
      <c r="C93" s="56"/>
      <c r="D93" s="56"/>
      <c r="E93" s="32"/>
      <c r="F93" s="33"/>
      <c r="G93" s="32"/>
      <c r="H93" s="32" t="s">
        <v>116</v>
      </c>
      <c r="I93" s="33">
        <f>15*5.5</f>
        <v>82.5</v>
      </c>
      <c r="J93" s="56"/>
      <c r="K93" s="56"/>
    </row>
    <row r="94" spans="1:11" x14ac:dyDescent="0.3">
      <c r="A94" s="4"/>
      <c r="B94" s="56"/>
      <c r="C94" s="56"/>
      <c r="D94" s="56"/>
      <c r="E94" s="32"/>
      <c r="F94" s="32"/>
      <c r="G94" s="32"/>
      <c r="H94" s="32"/>
      <c r="I94" s="33">
        <f>SUM(I90:I93)</f>
        <v>240</v>
      </c>
      <c r="J94" s="56"/>
      <c r="K94" s="56"/>
    </row>
    <row r="95" spans="1:11" x14ac:dyDescent="0.3">
      <c r="A95" s="4"/>
    </row>
    <row r="96" spans="1:11" x14ac:dyDescent="0.3">
      <c r="A96" s="4"/>
    </row>
    <row r="97" spans="1:2" ht="15" thickBot="1" x14ac:dyDescent="0.35">
      <c r="A97" s="4"/>
    </row>
    <row r="98" spans="1:2" ht="15" thickBot="1" x14ac:dyDescent="0.35">
      <c r="A98" s="4"/>
      <c r="B98" s="29" t="s">
        <v>69</v>
      </c>
    </row>
    <row r="99" spans="1:2" x14ac:dyDescent="0.3">
      <c r="A99" s="4"/>
      <c r="B99" s="2" t="s">
        <v>70</v>
      </c>
    </row>
    <row r="100" spans="1:2" x14ac:dyDescent="0.3">
      <c r="A100" s="4"/>
      <c r="B100" s="2" t="s">
        <v>44</v>
      </c>
    </row>
    <row r="101" spans="1:2" x14ac:dyDescent="0.3">
      <c r="B101" s="2" t="s">
        <v>45</v>
      </c>
    </row>
    <row r="102" spans="1:2" x14ac:dyDescent="0.3">
      <c r="B102" s="2" t="s">
        <v>46</v>
      </c>
    </row>
    <row r="103" spans="1:2" x14ac:dyDescent="0.3">
      <c r="B103" s="2" t="s">
        <v>47</v>
      </c>
    </row>
    <row r="104" spans="1:2" x14ac:dyDescent="0.3">
      <c r="B104" s="2" t="s">
        <v>213</v>
      </c>
    </row>
  </sheetData>
  <mergeCells count="23">
    <mergeCell ref="C4:K4"/>
    <mergeCell ref="C5:K5"/>
    <mergeCell ref="C6:K6"/>
    <mergeCell ref="B6:B10"/>
    <mergeCell ref="B15:B17"/>
    <mergeCell ref="C7:K7"/>
    <mergeCell ref="C8:K8"/>
    <mergeCell ref="C9:K9"/>
    <mergeCell ref="C10:K10"/>
    <mergeCell ref="C15:E15"/>
    <mergeCell ref="C16:E16"/>
    <mergeCell ref="C17:E17"/>
    <mergeCell ref="C19:E19"/>
    <mergeCell ref="C20:E20"/>
    <mergeCell ref="B25:B28"/>
    <mergeCell ref="C25:E25"/>
    <mergeCell ref="C27:E27"/>
    <mergeCell ref="C28:E28"/>
    <mergeCell ref="C21:E21"/>
    <mergeCell ref="C26:E26"/>
    <mergeCell ref="C22:E22"/>
    <mergeCell ref="B19:B23"/>
    <mergeCell ref="C23:E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F134-A0FE-4650-ADFA-81814D72C5EE}">
  <dimension ref="A1:AU70"/>
  <sheetViews>
    <sheetView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44" sqref="B44"/>
    </sheetView>
  </sheetViews>
  <sheetFormatPr baseColWidth="10" defaultColWidth="11.44140625" defaultRowHeight="14.4" x14ac:dyDescent="0.3"/>
  <cols>
    <col min="1" max="1" width="8.88671875" style="74" customWidth="1"/>
    <col min="2" max="2" width="48.44140625" style="74" customWidth="1"/>
    <col min="3" max="6" width="12.77734375" style="75" customWidth="1"/>
    <col min="7" max="40" width="12.77734375" style="74" customWidth="1"/>
    <col min="41" max="41" width="13.21875" style="74" bestFit="1" customWidth="1"/>
    <col min="42" max="42" width="11.44140625" style="74"/>
    <col min="43" max="43" width="11.77734375" style="74" bestFit="1" customWidth="1"/>
    <col min="44" max="44" width="15.6640625" style="74" bestFit="1" customWidth="1"/>
    <col min="45" max="16384" width="11.44140625" style="74"/>
  </cols>
  <sheetData>
    <row r="1" spans="1:47" s="34" customFormat="1" ht="18.600000000000001" customHeight="1" x14ac:dyDescent="0.3">
      <c r="A1" s="57"/>
      <c r="B1" s="57"/>
      <c r="C1" s="80">
        <v>45962</v>
      </c>
      <c r="D1" s="80">
        <v>45992</v>
      </c>
      <c r="E1" s="80">
        <v>46023</v>
      </c>
      <c r="F1" s="80">
        <v>46054</v>
      </c>
      <c r="G1" s="80">
        <v>46082</v>
      </c>
      <c r="H1" s="80">
        <v>46113</v>
      </c>
      <c r="I1" s="80">
        <v>46143</v>
      </c>
      <c r="J1" s="80">
        <v>46174</v>
      </c>
      <c r="K1" s="80">
        <v>46204</v>
      </c>
      <c r="L1" s="80">
        <v>46235</v>
      </c>
      <c r="M1" s="80">
        <v>46266</v>
      </c>
      <c r="N1" s="80">
        <v>46296</v>
      </c>
      <c r="O1" s="80">
        <v>46327</v>
      </c>
      <c r="P1" s="80">
        <v>46357</v>
      </c>
      <c r="Q1" s="80">
        <v>46388</v>
      </c>
      <c r="R1" s="80">
        <v>46419</v>
      </c>
      <c r="S1" s="80">
        <v>46447</v>
      </c>
      <c r="T1" s="80">
        <v>46478</v>
      </c>
      <c r="U1" s="80">
        <v>46508</v>
      </c>
      <c r="V1" s="80">
        <v>46539</v>
      </c>
      <c r="W1" s="80">
        <v>46569</v>
      </c>
      <c r="X1" s="80">
        <v>46600</v>
      </c>
      <c r="Y1" s="80">
        <v>46631</v>
      </c>
      <c r="Z1" s="80">
        <v>46661</v>
      </c>
      <c r="AA1" s="80">
        <v>46692</v>
      </c>
      <c r="AB1" s="80">
        <v>46722</v>
      </c>
      <c r="AC1" s="80">
        <v>46753</v>
      </c>
      <c r="AD1" s="80">
        <v>46784</v>
      </c>
      <c r="AE1" s="80">
        <v>46813</v>
      </c>
      <c r="AF1" s="80">
        <v>46844</v>
      </c>
      <c r="AG1" s="80">
        <v>46874</v>
      </c>
      <c r="AH1" s="80">
        <v>46905</v>
      </c>
      <c r="AI1" s="80">
        <v>46935</v>
      </c>
      <c r="AJ1" s="80">
        <v>46966</v>
      </c>
      <c r="AK1" s="80">
        <v>46997</v>
      </c>
      <c r="AL1" s="80">
        <v>47027</v>
      </c>
      <c r="AM1" s="80">
        <v>47058</v>
      </c>
      <c r="AN1" s="80">
        <v>47088</v>
      </c>
      <c r="AO1" s="57"/>
    </row>
    <row r="2" spans="1:47" s="61" customFormat="1" ht="24.6" customHeight="1" x14ac:dyDescent="0.3">
      <c r="A2" s="58"/>
      <c r="B2" s="58" t="s">
        <v>144</v>
      </c>
      <c r="C2" s="59">
        <f>C6</f>
        <v>0</v>
      </c>
      <c r="D2" s="59">
        <f>D6</f>
        <v>0</v>
      </c>
      <c r="E2" s="59">
        <f>E6</f>
        <v>0</v>
      </c>
      <c r="F2" s="59">
        <f>F6</f>
        <v>2645</v>
      </c>
      <c r="G2" s="59">
        <f>G6</f>
        <v>4990</v>
      </c>
      <c r="H2" s="59">
        <f t="shared" ref="H2:N2" si="0">H6</f>
        <v>6065</v>
      </c>
      <c r="I2" s="59">
        <f t="shared" si="0"/>
        <v>7515</v>
      </c>
      <c r="J2" s="59">
        <f t="shared" si="0"/>
        <v>8170</v>
      </c>
      <c r="K2" s="59">
        <f t="shared" si="0"/>
        <v>8965</v>
      </c>
      <c r="L2" s="59">
        <f t="shared" si="0"/>
        <v>8965</v>
      </c>
      <c r="M2" s="59">
        <f t="shared" si="0"/>
        <v>10415</v>
      </c>
      <c r="N2" s="59">
        <f t="shared" si="0"/>
        <v>10980</v>
      </c>
      <c r="O2" s="59">
        <f t="shared" ref="O2:AA2" si="1">O6</f>
        <v>11597.625</v>
      </c>
      <c r="P2" s="59">
        <f t="shared" si="1"/>
        <v>12255.271875</v>
      </c>
      <c r="Q2" s="59">
        <f t="shared" si="1"/>
        <v>13589.658628906251</v>
      </c>
      <c r="R2" s="59">
        <f t="shared" si="1"/>
        <v>14372.891738574219</v>
      </c>
      <c r="S2" s="59">
        <f t="shared" si="1"/>
        <v>15207.209642092284</v>
      </c>
      <c r="T2" s="59">
        <f t="shared" si="1"/>
        <v>16096.060814530456</v>
      </c>
      <c r="U2" s="59">
        <f t="shared" si="1"/>
        <v>17043.133222365555</v>
      </c>
      <c r="V2" s="59">
        <f t="shared" si="1"/>
        <v>18052.371328125548</v>
      </c>
      <c r="W2" s="59">
        <f t="shared" si="1"/>
        <v>19127.99432252167</v>
      </c>
      <c r="X2" s="59">
        <f t="shared" si="1"/>
        <v>20274.515673736838</v>
      </c>
      <c r="Y2" s="59">
        <f t="shared" si="1"/>
        <v>21496.764090144447</v>
      </c>
      <c r="Z2" s="59">
        <f t="shared" si="1"/>
        <v>22325</v>
      </c>
      <c r="AA2" s="59">
        <f t="shared" si="1"/>
        <v>22472</v>
      </c>
      <c r="AB2" s="59">
        <f>AB6</f>
        <v>22472</v>
      </c>
      <c r="AC2" s="59">
        <f t="shared" ref="AC2:AN2" si="2">AC6</f>
        <v>23298.894999999997</v>
      </c>
      <c r="AD2" s="59">
        <f t="shared" si="2"/>
        <v>23298.894999999997</v>
      </c>
      <c r="AE2" s="59">
        <f t="shared" si="2"/>
        <v>23298.894999999997</v>
      </c>
      <c r="AF2" s="59">
        <f t="shared" si="2"/>
        <v>23298.894999999997</v>
      </c>
      <c r="AG2" s="59">
        <f t="shared" si="2"/>
        <v>23298.894999999997</v>
      </c>
      <c r="AH2" s="59">
        <f t="shared" si="2"/>
        <v>23298.894999999997</v>
      </c>
      <c r="AI2" s="59">
        <f t="shared" si="2"/>
        <v>23298.894999999997</v>
      </c>
      <c r="AJ2" s="59">
        <f t="shared" si="2"/>
        <v>23298.894999999997</v>
      </c>
      <c r="AK2" s="59">
        <f t="shared" si="2"/>
        <v>23298.894999999997</v>
      </c>
      <c r="AL2" s="59">
        <f t="shared" si="2"/>
        <v>23298.894999999997</v>
      </c>
      <c r="AM2" s="59">
        <f t="shared" si="2"/>
        <v>23298.894999999997</v>
      </c>
      <c r="AN2" s="59">
        <f t="shared" si="2"/>
        <v>23298.894999999997</v>
      </c>
      <c r="AO2" s="60">
        <f>SUM(C2:AN2)</f>
        <v>594679.23633599747</v>
      </c>
      <c r="AQ2" s="62"/>
      <c r="AR2" s="62"/>
      <c r="AS2" s="62"/>
      <c r="AT2" s="62"/>
      <c r="AU2" s="62"/>
    </row>
    <row r="3" spans="1:47" s="61" customFormat="1" ht="24.6" customHeight="1" x14ac:dyDescent="0.3">
      <c r="A3" s="63"/>
      <c r="B3" s="63" t="s">
        <v>145</v>
      </c>
      <c r="C3" s="64">
        <f>C16</f>
        <v>-200</v>
      </c>
      <c r="D3" s="64">
        <f>D16</f>
        <v>-845</v>
      </c>
      <c r="E3" s="64">
        <f t="shared" ref="E3:N3" si="3">E16</f>
        <v>-1125</v>
      </c>
      <c r="F3" s="64">
        <f t="shared" si="3"/>
        <v>-5565.6595867768592</v>
      </c>
      <c r="G3" s="64">
        <f t="shared" si="3"/>
        <v>-5983.9530578512395</v>
      </c>
      <c r="H3" s="64">
        <f t="shared" si="3"/>
        <v>-6189.8733057851241</v>
      </c>
      <c r="I3" s="64">
        <f t="shared" si="3"/>
        <v>-6467.6261983471068</v>
      </c>
      <c r="J3" s="64">
        <f t="shared" si="3"/>
        <v>-6593.0938842975202</v>
      </c>
      <c r="K3" s="64">
        <f t="shared" si="3"/>
        <v>-9545.3790909090912</v>
      </c>
      <c r="L3" s="64">
        <f t="shared" si="3"/>
        <v>-9545.3790909090912</v>
      </c>
      <c r="M3" s="64">
        <f t="shared" si="3"/>
        <v>-9823.1319834710739</v>
      </c>
      <c r="N3" s="64">
        <f t="shared" si="3"/>
        <v>-9931.3598347107436</v>
      </c>
      <c r="O3" s="64">
        <f t="shared" ref="O3:AB3" si="4">O16</f>
        <v>-10049.668200413222</v>
      </c>
      <c r="P3" s="64">
        <f t="shared" si="4"/>
        <v>-10175.642905113637</v>
      </c>
      <c r="Q3" s="64">
        <f t="shared" si="4"/>
        <v>-10763.249650419744</v>
      </c>
      <c r="R3" s="64">
        <f t="shared" si="4"/>
        <v>-10913.28086542705</v>
      </c>
      <c r="S3" s="64">
        <f t="shared" si="4"/>
        <v>-11073.097562681116</v>
      </c>
      <c r="T3" s="64">
        <f t="shared" si="4"/>
        <v>-11243.360310406504</v>
      </c>
      <c r="U3" s="64">
        <f t="shared" si="4"/>
        <v>-11424.775552297428</v>
      </c>
      <c r="V3" s="64">
        <f t="shared" si="4"/>
        <v>-11618.098864820611</v>
      </c>
      <c r="W3" s="64">
        <f t="shared" si="4"/>
        <v>-11824.138449647993</v>
      </c>
      <c r="X3" s="64">
        <f t="shared" si="4"/>
        <v>-12043.75887839564</v>
      </c>
      <c r="Y3" s="64">
        <f t="shared" si="4"/>
        <v>-12277.885108110479</v>
      </c>
      <c r="Z3" s="64">
        <f t="shared" si="4"/>
        <v>-12436.536776859506</v>
      </c>
      <c r="AA3" s="64">
        <f t="shared" si="4"/>
        <v>-12664.695173553717</v>
      </c>
      <c r="AB3" s="64">
        <f t="shared" si="4"/>
        <v>-12664.695173553717</v>
      </c>
      <c r="AC3" s="64">
        <f t="shared" ref="AC3:AN3" si="5">AC16</f>
        <v>-13029.089986033057</v>
      </c>
      <c r="AD3" s="64">
        <f t="shared" si="5"/>
        <v>-13029.089986033057</v>
      </c>
      <c r="AE3" s="64">
        <f t="shared" si="5"/>
        <v>-13029.089986033057</v>
      </c>
      <c r="AF3" s="64">
        <f t="shared" si="5"/>
        <v>-13029.089986033057</v>
      </c>
      <c r="AG3" s="64">
        <f t="shared" si="5"/>
        <v>-13029.089986033057</v>
      </c>
      <c r="AH3" s="64">
        <f t="shared" si="5"/>
        <v>-13029.089986033057</v>
      </c>
      <c r="AI3" s="64">
        <f t="shared" si="5"/>
        <v>-13029.089986033057</v>
      </c>
      <c r="AJ3" s="64">
        <f t="shared" si="5"/>
        <v>-13029.089986033057</v>
      </c>
      <c r="AK3" s="64">
        <f t="shared" si="5"/>
        <v>-13029.089986033057</v>
      </c>
      <c r="AL3" s="64">
        <f t="shared" si="5"/>
        <v>-13029.089986033057</v>
      </c>
      <c r="AM3" s="64">
        <f t="shared" si="5"/>
        <v>-13029.089986033057</v>
      </c>
      <c r="AN3" s="64">
        <f t="shared" si="5"/>
        <v>-13029.089986033057</v>
      </c>
      <c r="AO3" s="65">
        <f>SUM(C3:AN3)</f>
        <v>-389337.41933715472</v>
      </c>
      <c r="AQ3" s="88"/>
    </row>
    <row r="4" spans="1:47" s="61" customFormat="1" ht="24.6" customHeight="1" x14ac:dyDescent="0.3">
      <c r="A4" s="66"/>
      <c r="B4" s="66" t="s">
        <v>149</v>
      </c>
      <c r="C4" s="87">
        <f>C2+C3</f>
        <v>-200</v>
      </c>
      <c r="D4" s="87">
        <f t="shared" ref="D4:N4" si="6">D2+D3</f>
        <v>-845</v>
      </c>
      <c r="E4" s="87">
        <f t="shared" si="6"/>
        <v>-1125</v>
      </c>
      <c r="F4" s="87">
        <f t="shared" si="6"/>
        <v>-2920.6595867768592</v>
      </c>
      <c r="G4" s="87">
        <f t="shared" si="6"/>
        <v>-993.95305785123946</v>
      </c>
      <c r="H4" s="87">
        <f t="shared" si="6"/>
        <v>-124.8733057851241</v>
      </c>
      <c r="I4" s="87">
        <f t="shared" si="6"/>
        <v>1047.3738016528932</v>
      </c>
      <c r="J4" s="87">
        <f t="shared" si="6"/>
        <v>1576.9061157024798</v>
      </c>
      <c r="K4" s="87">
        <f t="shared" si="6"/>
        <v>-580.37909090909125</v>
      </c>
      <c r="L4" s="87">
        <f t="shared" si="6"/>
        <v>-580.37909090909125</v>
      </c>
      <c r="M4" s="87">
        <f t="shared" si="6"/>
        <v>591.86801652892609</v>
      </c>
      <c r="N4" s="87">
        <f t="shared" si="6"/>
        <v>1048.6401652892564</v>
      </c>
      <c r="O4" s="87">
        <f t="shared" ref="O4:AB4" si="7">O2+O3</f>
        <v>1547.9567995867783</v>
      </c>
      <c r="P4" s="87">
        <f t="shared" si="7"/>
        <v>2079.6289698863638</v>
      </c>
      <c r="Q4" s="87">
        <f t="shared" si="7"/>
        <v>2826.4089784865064</v>
      </c>
      <c r="R4" s="87">
        <f t="shared" si="7"/>
        <v>3459.6108731471686</v>
      </c>
      <c r="S4" s="87">
        <f t="shared" si="7"/>
        <v>4134.1120794111685</v>
      </c>
      <c r="T4" s="87">
        <f t="shared" si="7"/>
        <v>4852.7005041239518</v>
      </c>
      <c r="U4" s="87">
        <f t="shared" si="7"/>
        <v>5618.3576700681278</v>
      </c>
      <c r="V4" s="87">
        <f t="shared" si="7"/>
        <v>6434.2724633049365</v>
      </c>
      <c r="W4" s="87">
        <f t="shared" si="7"/>
        <v>7303.8558728736771</v>
      </c>
      <c r="X4" s="87">
        <f t="shared" si="7"/>
        <v>8230.7567953411981</v>
      </c>
      <c r="Y4" s="87">
        <f t="shared" si="7"/>
        <v>9218.878982033968</v>
      </c>
      <c r="Z4" s="87">
        <f t="shared" si="7"/>
        <v>9888.4632231404939</v>
      </c>
      <c r="AA4" s="87">
        <f t="shared" si="7"/>
        <v>9807.3048264462832</v>
      </c>
      <c r="AB4" s="87">
        <f t="shared" si="7"/>
        <v>9807.3048264462832</v>
      </c>
      <c r="AC4" s="87">
        <f t="shared" ref="AC4:AN4" si="8">AC2+AC3</f>
        <v>10269.805013966939</v>
      </c>
      <c r="AD4" s="87">
        <f t="shared" si="8"/>
        <v>10269.805013966939</v>
      </c>
      <c r="AE4" s="87">
        <f t="shared" si="8"/>
        <v>10269.805013966939</v>
      </c>
      <c r="AF4" s="87">
        <f t="shared" si="8"/>
        <v>10269.805013966939</v>
      </c>
      <c r="AG4" s="87">
        <f t="shared" si="8"/>
        <v>10269.805013966939</v>
      </c>
      <c r="AH4" s="87">
        <f t="shared" si="8"/>
        <v>10269.805013966939</v>
      </c>
      <c r="AI4" s="87">
        <f t="shared" si="8"/>
        <v>10269.805013966939</v>
      </c>
      <c r="AJ4" s="87">
        <f t="shared" si="8"/>
        <v>10269.805013966939</v>
      </c>
      <c r="AK4" s="87">
        <f t="shared" si="8"/>
        <v>10269.805013966939</v>
      </c>
      <c r="AL4" s="87">
        <f t="shared" si="8"/>
        <v>10269.805013966939</v>
      </c>
      <c r="AM4" s="87">
        <f t="shared" si="8"/>
        <v>10269.805013966939</v>
      </c>
      <c r="AN4" s="87">
        <f t="shared" si="8"/>
        <v>10269.805013966939</v>
      </c>
      <c r="AO4" s="94">
        <f>SUM(C4:AN4)</f>
        <v>205341.81699884241</v>
      </c>
      <c r="AQ4" s="89"/>
    </row>
    <row r="5" spans="1:47" s="67" customFormat="1" ht="15" customHeight="1" x14ac:dyDescent="0.3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Q5" s="90"/>
    </row>
    <row r="6" spans="1:47" s="73" customFormat="1" ht="15" customHeight="1" x14ac:dyDescent="0.3">
      <c r="A6" s="69"/>
      <c r="B6" s="70" t="s">
        <v>146</v>
      </c>
      <c r="C6" s="71">
        <f t="shared" ref="C6:AB6" si="9">SUM(C7:C14)</f>
        <v>0</v>
      </c>
      <c r="D6" s="71">
        <f t="shared" si="9"/>
        <v>0</v>
      </c>
      <c r="E6" s="71">
        <f t="shared" si="9"/>
        <v>0</v>
      </c>
      <c r="F6" s="71">
        <f t="shared" si="9"/>
        <v>2645</v>
      </c>
      <c r="G6" s="71">
        <f t="shared" si="9"/>
        <v>4990</v>
      </c>
      <c r="H6" s="71">
        <f t="shared" si="9"/>
        <v>6065</v>
      </c>
      <c r="I6" s="71">
        <f t="shared" si="9"/>
        <v>7515</v>
      </c>
      <c r="J6" s="71">
        <f t="shared" si="9"/>
        <v>8170</v>
      </c>
      <c r="K6" s="71">
        <f t="shared" si="9"/>
        <v>8965</v>
      </c>
      <c r="L6" s="71">
        <f t="shared" si="9"/>
        <v>8965</v>
      </c>
      <c r="M6" s="71">
        <f t="shared" si="9"/>
        <v>10415</v>
      </c>
      <c r="N6" s="71">
        <f t="shared" si="9"/>
        <v>10980</v>
      </c>
      <c r="O6" s="71">
        <f t="shared" si="9"/>
        <v>11597.625</v>
      </c>
      <c r="P6" s="71">
        <f t="shared" si="9"/>
        <v>12255.271875</v>
      </c>
      <c r="Q6" s="71">
        <f t="shared" si="9"/>
        <v>13589.658628906251</v>
      </c>
      <c r="R6" s="71">
        <f t="shared" si="9"/>
        <v>14372.891738574219</v>
      </c>
      <c r="S6" s="71">
        <f t="shared" si="9"/>
        <v>15207.209642092284</v>
      </c>
      <c r="T6" s="71">
        <f t="shared" si="9"/>
        <v>16096.060814530456</v>
      </c>
      <c r="U6" s="71">
        <f t="shared" si="9"/>
        <v>17043.133222365555</v>
      </c>
      <c r="V6" s="71">
        <f t="shared" si="9"/>
        <v>18052.371328125548</v>
      </c>
      <c r="W6" s="71">
        <f t="shared" si="9"/>
        <v>19127.99432252167</v>
      </c>
      <c r="X6" s="71">
        <f t="shared" si="9"/>
        <v>20274.515673736838</v>
      </c>
      <c r="Y6" s="71">
        <f t="shared" si="9"/>
        <v>21496.764090144447</v>
      </c>
      <c r="Z6" s="71">
        <f t="shared" si="9"/>
        <v>22325</v>
      </c>
      <c r="AA6" s="71">
        <f t="shared" si="9"/>
        <v>22472</v>
      </c>
      <c r="AB6" s="71">
        <f t="shared" si="9"/>
        <v>22472</v>
      </c>
      <c r="AC6" s="71">
        <f t="shared" ref="AC6:AN6" si="10">SUM(AC7:AC14)</f>
        <v>23298.894999999997</v>
      </c>
      <c r="AD6" s="71">
        <f t="shared" si="10"/>
        <v>23298.894999999997</v>
      </c>
      <c r="AE6" s="71">
        <f t="shared" si="10"/>
        <v>23298.894999999997</v>
      </c>
      <c r="AF6" s="71">
        <f t="shared" si="10"/>
        <v>23298.894999999997</v>
      </c>
      <c r="AG6" s="71">
        <f t="shared" si="10"/>
        <v>23298.894999999997</v>
      </c>
      <c r="AH6" s="71">
        <f t="shared" si="10"/>
        <v>23298.894999999997</v>
      </c>
      <c r="AI6" s="71">
        <f t="shared" si="10"/>
        <v>23298.894999999997</v>
      </c>
      <c r="AJ6" s="71">
        <f t="shared" si="10"/>
        <v>23298.894999999997</v>
      </c>
      <c r="AK6" s="71">
        <f t="shared" si="10"/>
        <v>23298.894999999997</v>
      </c>
      <c r="AL6" s="71">
        <f t="shared" si="10"/>
        <v>23298.894999999997</v>
      </c>
      <c r="AM6" s="71">
        <f t="shared" si="10"/>
        <v>23298.894999999997</v>
      </c>
      <c r="AN6" s="71">
        <f t="shared" si="10"/>
        <v>23298.894999999997</v>
      </c>
      <c r="AO6" s="72">
        <f>SUM(C6:AN6)</f>
        <v>594679.23633599747</v>
      </c>
      <c r="AQ6" s="91"/>
    </row>
    <row r="7" spans="1:47" ht="15" customHeight="1" x14ac:dyDescent="0.3">
      <c r="B7" s="74" t="s">
        <v>147</v>
      </c>
      <c r="C7" s="75">
        <f t="shared" ref="C7:P7" si="11">C48*$C$63</f>
        <v>0</v>
      </c>
      <c r="D7" s="75">
        <f t="shared" si="11"/>
        <v>0</v>
      </c>
      <c r="E7" s="75">
        <f t="shared" si="11"/>
        <v>0</v>
      </c>
      <c r="F7" s="75">
        <f t="shared" si="11"/>
        <v>375</v>
      </c>
      <c r="G7" s="75">
        <f t="shared" si="11"/>
        <v>1500</v>
      </c>
      <c r="H7" s="75">
        <f t="shared" si="11"/>
        <v>2250</v>
      </c>
      <c r="I7" s="75">
        <f t="shared" si="11"/>
        <v>3000</v>
      </c>
      <c r="J7" s="75">
        <f t="shared" si="11"/>
        <v>3375</v>
      </c>
      <c r="K7" s="75">
        <f t="shared" si="11"/>
        <v>3750</v>
      </c>
      <c r="L7" s="75">
        <f t="shared" si="11"/>
        <v>3750</v>
      </c>
      <c r="M7" s="75">
        <f t="shared" si="11"/>
        <v>4500</v>
      </c>
      <c r="N7" s="75">
        <f t="shared" si="11"/>
        <v>4875</v>
      </c>
      <c r="O7" s="75">
        <f t="shared" si="11"/>
        <v>5240.625</v>
      </c>
      <c r="P7" s="75">
        <f t="shared" si="11"/>
        <v>5633.671875</v>
      </c>
      <c r="Q7" s="75">
        <f>Q48*$Q$63</f>
        <v>6359.0071289062489</v>
      </c>
      <c r="R7" s="75">
        <f t="shared" ref="R7:AB7" si="12">R48*$Q$63</f>
        <v>6835.9326635742173</v>
      </c>
      <c r="S7" s="75">
        <f t="shared" si="12"/>
        <v>7348.6276133422834</v>
      </c>
      <c r="T7" s="75">
        <f t="shared" si="12"/>
        <v>7899.7746843429541</v>
      </c>
      <c r="U7" s="75">
        <f t="shared" si="12"/>
        <v>8492.2577856686767</v>
      </c>
      <c r="V7" s="75">
        <f t="shared" si="12"/>
        <v>9129.1771195938254</v>
      </c>
      <c r="W7" s="75">
        <f t="shared" si="12"/>
        <v>9813.8654035633626</v>
      </c>
      <c r="X7" s="75">
        <f t="shared" si="12"/>
        <v>10549.905308830615</v>
      </c>
      <c r="Y7" s="75">
        <f t="shared" si="12"/>
        <v>11341.14820699291</v>
      </c>
      <c r="Z7" s="75">
        <f t="shared" si="12"/>
        <v>11812.5</v>
      </c>
      <c r="AA7" s="75">
        <f t="shared" si="12"/>
        <v>11812.5</v>
      </c>
      <c r="AB7" s="75">
        <f t="shared" si="12"/>
        <v>11812.5</v>
      </c>
      <c r="AC7" s="75">
        <f>AC48*$AC$63</f>
        <v>12225.9375</v>
      </c>
      <c r="AD7" s="75">
        <f t="shared" ref="AD7:AN7" si="13">AD48*$AC$63</f>
        <v>12225.9375</v>
      </c>
      <c r="AE7" s="75">
        <f t="shared" si="13"/>
        <v>12225.9375</v>
      </c>
      <c r="AF7" s="75">
        <f t="shared" si="13"/>
        <v>12225.9375</v>
      </c>
      <c r="AG7" s="75">
        <f t="shared" si="13"/>
        <v>12225.9375</v>
      </c>
      <c r="AH7" s="75">
        <f t="shared" si="13"/>
        <v>12225.9375</v>
      </c>
      <c r="AI7" s="75">
        <f t="shared" si="13"/>
        <v>12225.9375</v>
      </c>
      <c r="AJ7" s="75">
        <f t="shared" si="13"/>
        <v>12225.9375</v>
      </c>
      <c r="AK7" s="75">
        <f t="shared" si="13"/>
        <v>12225.9375</v>
      </c>
      <c r="AL7" s="75">
        <f t="shared" si="13"/>
        <v>12225.9375</v>
      </c>
      <c r="AM7" s="75">
        <f t="shared" si="13"/>
        <v>12225.9375</v>
      </c>
      <c r="AN7" s="75">
        <f t="shared" si="13"/>
        <v>12225.9375</v>
      </c>
      <c r="AO7" s="76"/>
      <c r="AQ7" s="92"/>
    </row>
    <row r="8" spans="1:47" ht="15" customHeight="1" x14ac:dyDescent="0.3">
      <c r="B8" s="74" t="s">
        <v>148</v>
      </c>
      <c r="C8" s="75">
        <f t="shared" ref="C8:P8" si="14">C49*$C$64</f>
        <v>0</v>
      </c>
      <c r="D8" s="75">
        <f t="shared" si="14"/>
        <v>0</v>
      </c>
      <c r="E8" s="75">
        <f t="shared" si="14"/>
        <v>0</v>
      </c>
      <c r="F8" s="75">
        <f t="shared" si="14"/>
        <v>700</v>
      </c>
      <c r="G8" s="75">
        <f t="shared" si="14"/>
        <v>2100</v>
      </c>
      <c r="H8" s="75">
        <f t="shared" si="14"/>
        <v>2800</v>
      </c>
      <c r="I8" s="75">
        <f t="shared" si="14"/>
        <v>3500</v>
      </c>
      <c r="J8" s="75">
        <f t="shared" si="14"/>
        <v>3780</v>
      </c>
      <c r="K8" s="75">
        <f t="shared" si="14"/>
        <v>4200</v>
      </c>
      <c r="L8" s="75">
        <f t="shared" si="14"/>
        <v>4200</v>
      </c>
      <c r="M8" s="75">
        <f t="shared" si="14"/>
        <v>4900</v>
      </c>
      <c r="N8" s="75">
        <f t="shared" si="14"/>
        <v>5040</v>
      </c>
      <c r="O8" s="75">
        <f t="shared" si="14"/>
        <v>5292.0000000000009</v>
      </c>
      <c r="P8" s="75">
        <f t="shared" si="14"/>
        <v>5556.6</v>
      </c>
      <c r="Q8" s="75">
        <f>Q49*$Q$64</f>
        <v>6126.1515000000018</v>
      </c>
      <c r="R8" s="75">
        <f t="shared" ref="R8:AB8" si="15">R49*$Q$64</f>
        <v>6432.4590750000016</v>
      </c>
      <c r="S8" s="75">
        <f t="shared" si="15"/>
        <v>6754.082028750001</v>
      </c>
      <c r="T8" s="75">
        <f t="shared" si="15"/>
        <v>7091.7861301875018</v>
      </c>
      <c r="U8" s="75">
        <f t="shared" si="15"/>
        <v>7446.3754366968778</v>
      </c>
      <c r="V8" s="75">
        <f t="shared" si="15"/>
        <v>7818.6942085317214</v>
      </c>
      <c r="W8" s="75">
        <f t="shared" si="15"/>
        <v>8209.6289189583076</v>
      </c>
      <c r="X8" s="75">
        <f t="shared" si="15"/>
        <v>8620.1103649062243</v>
      </c>
      <c r="Y8" s="75">
        <f t="shared" si="15"/>
        <v>9051.1158831515349</v>
      </c>
      <c r="Z8" s="75">
        <f t="shared" si="15"/>
        <v>9408</v>
      </c>
      <c r="AA8" s="75">
        <f t="shared" si="15"/>
        <v>9555</v>
      </c>
      <c r="AB8" s="75">
        <f t="shared" si="15"/>
        <v>9555</v>
      </c>
      <c r="AC8" s="75">
        <f>AC49*$AC$64</f>
        <v>9889.4249999999993</v>
      </c>
      <c r="AD8" s="75">
        <f t="shared" ref="AD8:AN8" si="16">AD49*$AC$64</f>
        <v>9889.4249999999993</v>
      </c>
      <c r="AE8" s="75">
        <f t="shared" si="16"/>
        <v>9889.4249999999993</v>
      </c>
      <c r="AF8" s="75">
        <f t="shared" si="16"/>
        <v>9889.4249999999993</v>
      </c>
      <c r="AG8" s="75">
        <f t="shared" si="16"/>
        <v>9889.4249999999993</v>
      </c>
      <c r="AH8" s="75">
        <f t="shared" si="16"/>
        <v>9889.4249999999993</v>
      </c>
      <c r="AI8" s="75">
        <f t="shared" si="16"/>
        <v>9889.4249999999993</v>
      </c>
      <c r="AJ8" s="75">
        <f t="shared" si="16"/>
        <v>9889.4249999999993</v>
      </c>
      <c r="AK8" s="75">
        <f t="shared" si="16"/>
        <v>9889.4249999999993</v>
      </c>
      <c r="AL8" s="75">
        <f t="shared" si="16"/>
        <v>9889.4249999999993</v>
      </c>
      <c r="AM8" s="75">
        <f t="shared" si="16"/>
        <v>9889.4249999999993</v>
      </c>
      <c r="AN8" s="75">
        <f t="shared" si="16"/>
        <v>9889.4249999999993</v>
      </c>
      <c r="AO8" s="76"/>
      <c r="AQ8" s="92"/>
    </row>
    <row r="9" spans="1:47" ht="15" hidden="1" customHeight="1" x14ac:dyDescent="0.3">
      <c r="B9" s="74" t="s">
        <v>180</v>
      </c>
      <c r="C9" s="75">
        <f t="shared" ref="C9:Q9" si="17">C50*$C$65</f>
        <v>0</v>
      </c>
      <c r="D9" s="75">
        <f t="shared" si="17"/>
        <v>0</v>
      </c>
      <c r="E9" s="75">
        <f t="shared" si="17"/>
        <v>0</v>
      </c>
      <c r="F9" s="75">
        <f t="shared" si="17"/>
        <v>0</v>
      </c>
      <c r="G9" s="75">
        <f t="shared" si="17"/>
        <v>0</v>
      </c>
      <c r="H9" s="75">
        <f t="shared" si="17"/>
        <v>0</v>
      </c>
      <c r="I9" s="75">
        <f t="shared" si="17"/>
        <v>0</v>
      </c>
      <c r="J9" s="75">
        <f t="shared" si="17"/>
        <v>0</v>
      </c>
      <c r="K9" s="75">
        <f t="shared" si="17"/>
        <v>0</v>
      </c>
      <c r="L9" s="75">
        <f t="shared" si="17"/>
        <v>0</v>
      </c>
      <c r="M9" s="75">
        <f t="shared" si="17"/>
        <v>0</v>
      </c>
      <c r="N9" s="75">
        <f t="shared" si="17"/>
        <v>0</v>
      </c>
      <c r="O9" s="75">
        <f t="shared" si="17"/>
        <v>0</v>
      </c>
      <c r="P9" s="75">
        <f t="shared" si="17"/>
        <v>0</v>
      </c>
      <c r="Q9" s="75">
        <f t="shared" si="17"/>
        <v>0</v>
      </c>
      <c r="R9" s="75">
        <f t="shared" ref="R9:AB9" si="18">R50*$C$65</f>
        <v>0</v>
      </c>
      <c r="S9" s="75">
        <f t="shared" si="18"/>
        <v>0</v>
      </c>
      <c r="T9" s="75">
        <f t="shared" si="18"/>
        <v>0</v>
      </c>
      <c r="U9" s="75">
        <f t="shared" si="18"/>
        <v>0</v>
      </c>
      <c r="V9" s="75">
        <f t="shared" si="18"/>
        <v>0</v>
      </c>
      <c r="W9" s="75">
        <f t="shared" si="18"/>
        <v>0</v>
      </c>
      <c r="X9" s="75">
        <f t="shared" si="18"/>
        <v>0</v>
      </c>
      <c r="Y9" s="75">
        <f t="shared" si="18"/>
        <v>0</v>
      </c>
      <c r="Z9" s="75">
        <f t="shared" si="18"/>
        <v>0</v>
      </c>
      <c r="AA9" s="75">
        <f t="shared" si="18"/>
        <v>0</v>
      </c>
      <c r="AB9" s="75">
        <f t="shared" si="18"/>
        <v>0</v>
      </c>
      <c r="AC9" s="75">
        <f>AC50*$C$65</f>
        <v>0</v>
      </c>
      <c r="AD9" s="75">
        <f t="shared" ref="AD9:AN9" si="19">AD50*$C$65</f>
        <v>0</v>
      </c>
      <c r="AE9" s="75">
        <f t="shared" si="19"/>
        <v>0</v>
      </c>
      <c r="AF9" s="75">
        <f t="shared" si="19"/>
        <v>0</v>
      </c>
      <c r="AG9" s="75">
        <f t="shared" si="19"/>
        <v>0</v>
      </c>
      <c r="AH9" s="75">
        <f t="shared" si="19"/>
        <v>0</v>
      </c>
      <c r="AI9" s="75">
        <f t="shared" si="19"/>
        <v>0</v>
      </c>
      <c r="AJ9" s="75">
        <f t="shared" si="19"/>
        <v>0</v>
      </c>
      <c r="AK9" s="75">
        <f t="shared" si="19"/>
        <v>0</v>
      </c>
      <c r="AL9" s="75">
        <f t="shared" si="19"/>
        <v>0</v>
      </c>
      <c r="AM9" s="75">
        <f t="shared" si="19"/>
        <v>0</v>
      </c>
      <c r="AN9" s="75">
        <f t="shared" si="19"/>
        <v>0</v>
      </c>
      <c r="AO9" s="76"/>
    </row>
    <row r="10" spans="1:47" s="67" customFormat="1" ht="15" customHeight="1" x14ac:dyDescent="0.3">
      <c r="B10" s="74" t="s">
        <v>177</v>
      </c>
      <c r="C10" s="75">
        <f t="shared" ref="C10:P10" si="20">C51*$C$66</f>
        <v>0</v>
      </c>
      <c r="D10" s="75">
        <f t="shared" si="20"/>
        <v>0</v>
      </c>
      <c r="E10" s="75">
        <f t="shared" si="20"/>
        <v>0</v>
      </c>
      <c r="F10" s="75">
        <f t="shared" si="20"/>
        <v>450</v>
      </c>
      <c r="G10" s="75">
        <f t="shared" si="20"/>
        <v>450</v>
      </c>
      <c r="H10" s="75">
        <f t="shared" si="20"/>
        <v>450</v>
      </c>
      <c r="I10" s="75">
        <f t="shared" si="20"/>
        <v>450</v>
      </c>
      <c r="J10" s="75">
        <f t="shared" si="20"/>
        <v>450</v>
      </c>
      <c r="K10" s="75">
        <f t="shared" si="20"/>
        <v>450</v>
      </c>
      <c r="L10" s="75">
        <f t="shared" si="20"/>
        <v>450</v>
      </c>
      <c r="M10" s="75">
        <f t="shared" si="20"/>
        <v>450</v>
      </c>
      <c r="N10" s="75">
        <f t="shared" si="20"/>
        <v>450</v>
      </c>
      <c r="O10" s="75">
        <f t="shared" si="20"/>
        <v>450</v>
      </c>
      <c r="P10" s="75">
        <f t="shared" si="20"/>
        <v>450</v>
      </c>
      <c r="Q10" s="75">
        <f>Q51*$Q$66</f>
        <v>472.5</v>
      </c>
      <c r="R10" s="75">
        <f t="shared" ref="R10:AB10" si="21">R51*$Q$66</f>
        <v>472.5</v>
      </c>
      <c r="S10" s="75">
        <f t="shared" si="21"/>
        <v>472.5</v>
      </c>
      <c r="T10" s="75">
        <f t="shared" si="21"/>
        <v>472.5</v>
      </c>
      <c r="U10" s="75">
        <f t="shared" si="21"/>
        <v>472.5</v>
      </c>
      <c r="V10" s="75">
        <f t="shared" si="21"/>
        <v>472.5</v>
      </c>
      <c r="W10" s="75">
        <f t="shared" si="21"/>
        <v>472.5</v>
      </c>
      <c r="X10" s="75">
        <f t="shared" si="21"/>
        <v>472.5</v>
      </c>
      <c r="Y10" s="75">
        <f t="shared" si="21"/>
        <v>472.5</v>
      </c>
      <c r="Z10" s="75">
        <f t="shared" si="21"/>
        <v>472.5</v>
      </c>
      <c r="AA10" s="75">
        <f t="shared" si="21"/>
        <v>472.5</v>
      </c>
      <c r="AB10" s="75">
        <f t="shared" si="21"/>
        <v>472.5</v>
      </c>
      <c r="AC10" s="75">
        <f>AC51*$AC$66</f>
        <v>489.03749999999997</v>
      </c>
      <c r="AD10" s="75">
        <f t="shared" ref="AD10:AN10" si="22">AD51*$AC$66</f>
        <v>489.03749999999997</v>
      </c>
      <c r="AE10" s="75">
        <f t="shared" si="22"/>
        <v>489.03749999999997</v>
      </c>
      <c r="AF10" s="75">
        <f t="shared" si="22"/>
        <v>489.03749999999997</v>
      </c>
      <c r="AG10" s="75">
        <f t="shared" si="22"/>
        <v>489.03749999999997</v>
      </c>
      <c r="AH10" s="75">
        <f t="shared" si="22"/>
        <v>489.03749999999997</v>
      </c>
      <c r="AI10" s="75">
        <f t="shared" si="22"/>
        <v>489.03749999999997</v>
      </c>
      <c r="AJ10" s="75">
        <f t="shared" si="22"/>
        <v>489.03749999999997</v>
      </c>
      <c r="AK10" s="75">
        <f t="shared" si="22"/>
        <v>489.03749999999997</v>
      </c>
      <c r="AL10" s="75">
        <f t="shared" si="22"/>
        <v>489.03749999999997</v>
      </c>
      <c r="AM10" s="75">
        <f t="shared" si="22"/>
        <v>489.03749999999997</v>
      </c>
      <c r="AN10" s="75">
        <f t="shared" si="22"/>
        <v>489.03749999999997</v>
      </c>
      <c r="AQ10" s="90"/>
    </row>
    <row r="11" spans="1:47" s="67" customFormat="1" ht="15" customHeight="1" x14ac:dyDescent="0.3">
      <c r="B11" s="74" t="s">
        <v>178</v>
      </c>
      <c r="C11" s="75">
        <f t="shared" ref="C11:P11" si="23">C52*$C$67</f>
        <v>0</v>
      </c>
      <c r="D11" s="75">
        <f t="shared" si="23"/>
        <v>0</v>
      </c>
      <c r="E11" s="75">
        <f t="shared" si="23"/>
        <v>0</v>
      </c>
      <c r="F11" s="75">
        <f t="shared" si="23"/>
        <v>340</v>
      </c>
      <c r="G11" s="75">
        <f t="shared" si="23"/>
        <v>340</v>
      </c>
      <c r="H11" s="75">
        <f t="shared" si="23"/>
        <v>340</v>
      </c>
      <c r="I11" s="75">
        <f t="shared" si="23"/>
        <v>340</v>
      </c>
      <c r="J11" s="75">
        <f t="shared" si="23"/>
        <v>340</v>
      </c>
      <c r="K11" s="75">
        <f t="shared" si="23"/>
        <v>340</v>
      </c>
      <c r="L11" s="75">
        <f t="shared" si="23"/>
        <v>340</v>
      </c>
      <c r="M11" s="75">
        <f t="shared" si="23"/>
        <v>340</v>
      </c>
      <c r="N11" s="75">
        <f t="shared" si="23"/>
        <v>340</v>
      </c>
      <c r="O11" s="75">
        <f t="shared" si="23"/>
        <v>340</v>
      </c>
      <c r="P11" s="75">
        <f t="shared" si="23"/>
        <v>340</v>
      </c>
      <c r="Q11" s="75">
        <f>Q52*$Q$67</f>
        <v>357</v>
      </c>
      <c r="R11" s="75">
        <f t="shared" ref="R11:AB11" si="24">R52*$Q$67</f>
        <v>357</v>
      </c>
      <c r="S11" s="75">
        <f t="shared" si="24"/>
        <v>357</v>
      </c>
      <c r="T11" s="75">
        <f t="shared" si="24"/>
        <v>357</v>
      </c>
      <c r="U11" s="75">
        <f t="shared" si="24"/>
        <v>357</v>
      </c>
      <c r="V11" s="75">
        <f t="shared" si="24"/>
        <v>357</v>
      </c>
      <c r="W11" s="75">
        <f t="shared" si="24"/>
        <v>357</v>
      </c>
      <c r="X11" s="75">
        <f t="shared" si="24"/>
        <v>357</v>
      </c>
      <c r="Y11" s="75">
        <f t="shared" si="24"/>
        <v>357</v>
      </c>
      <c r="Z11" s="75">
        <f t="shared" si="24"/>
        <v>357</v>
      </c>
      <c r="AA11" s="75">
        <f t="shared" si="24"/>
        <v>357</v>
      </c>
      <c r="AB11" s="75">
        <f t="shared" si="24"/>
        <v>357</v>
      </c>
      <c r="AC11" s="75">
        <f>AC52*$AC$67</f>
        <v>369.49499999999995</v>
      </c>
      <c r="AD11" s="75">
        <f t="shared" ref="AD11:AN11" si="25">AD52*$AC$67</f>
        <v>369.49499999999995</v>
      </c>
      <c r="AE11" s="75">
        <f t="shared" si="25"/>
        <v>369.49499999999995</v>
      </c>
      <c r="AF11" s="75">
        <f t="shared" si="25"/>
        <v>369.49499999999995</v>
      </c>
      <c r="AG11" s="75">
        <f t="shared" si="25"/>
        <v>369.49499999999995</v>
      </c>
      <c r="AH11" s="75">
        <f t="shared" si="25"/>
        <v>369.49499999999995</v>
      </c>
      <c r="AI11" s="75">
        <f t="shared" si="25"/>
        <v>369.49499999999995</v>
      </c>
      <c r="AJ11" s="75">
        <f t="shared" si="25"/>
        <v>369.49499999999995</v>
      </c>
      <c r="AK11" s="75">
        <f t="shared" si="25"/>
        <v>369.49499999999995</v>
      </c>
      <c r="AL11" s="75">
        <f t="shared" si="25"/>
        <v>369.49499999999995</v>
      </c>
      <c r="AM11" s="75">
        <f t="shared" si="25"/>
        <v>369.49499999999995</v>
      </c>
      <c r="AN11" s="75">
        <f t="shared" si="25"/>
        <v>369.49499999999995</v>
      </c>
      <c r="AQ11" s="90"/>
    </row>
    <row r="12" spans="1:47" s="67" customFormat="1" ht="15" customHeight="1" x14ac:dyDescent="0.3">
      <c r="B12" s="74" t="s">
        <v>161</v>
      </c>
      <c r="C12" s="75">
        <f>C53*$C$68</f>
        <v>0</v>
      </c>
      <c r="D12" s="75">
        <f t="shared" ref="D12:N12" si="26">D53*$C$68</f>
        <v>0</v>
      </c>
      <c r="E12" s="75">
        <f t="shared" si="26"/>
        <v>0</v>
      </c>
      <c r="F12" s="75">
        <f t="shared" si="26"/>
        <v>30</v>
      </c>
      <c r="G12" s="75">
        <f t="shared" si="26"/>
        <v>50</v>
      </c>
      <c r="H12" s="75">
        <f t="shared" si="26"/>
        <v>50</v>
      </c>
      <c r="I12" s="75">
        <f t="shared" si="26"/>
        <v>50</v>
      </c>
      <c r="J12" s="75">
        <f t="shared" si="26"/>
        <v>50</v>
      </c>
      <c r="K12" s="75">
        <f t="shared" si="26"/>
        <v>50</v>
      </c>
      <c r="L12" s="75">
        <f t="shared" si="26"/>
        <v>50</v>
      </c>
      <c r="M12" s="75">
        <f t="shared" si="26"/>
        <v>50</v>
      </c>
      <c r="N12" s="75">
        <f t="shared" si="26"/>
        <v>100</v>
      </c>
      <c r="O12" s="75">
        <f>O53*$C$68</f>
        <v>100</v>
      </c>
      <c r="P12" s="75">
        <f>P53*$C$68</f>
        <v>100</v>
      </c>
      <c r="Q12" s="75">
        <f>Q53*$Q$68</f>
        <v>100</v>
      </c>
      <c r="R12" s="75">
        <f t="shared" ref="R12:AB12" si="27">R53*$Q$68</f>
        <v>100</v>
      </c>
      <c r="S12" s="75">
        <f t="shared" si="27"/>
        <v>100</v>
      </c>
      <c r="T12" s="75">
        <f t="shared" si="27"/>
        <v>100</v>
      </c>
      <c r="U12" s="75">
        <f t="shared" si="27"/>
        <v>100</v>
      </c>
      <c r="V12" s="75">
        <f t="shared" si="27"/>
        <v>100</v>
      </c>
      <c r="W12" s="75">
        <f t="shared" si="27"/>
        <v>100</v>
      </c>
      <c r="X12" s="75">
        <f t="shared" si="27"/>
        <v>100</v>
      </c>
      <c r="Y12" s="75">
        <f t="shared" si="27"/>
        <v>100</v>
      </c>
      <c r="Z12" s="75">
        <f t="shared" si="27"/>
        <v>100</v>
      </c>
      <c r="AA12" s="75">
        <f t="shared" si="27"/>
        <v>100</v>
      </c>
      <c r="AB12" s="75">
        <f t="shared" si="27"/>
        <v>100</v>
      </c>
      <c r="AC12" s="75">
        <f>AC53*$AC$68</f>
        <v>150</v>
      </c>
      <c r="AD12" s="75">
        <f t="shared" ref="AD12:AN12" si="28">AD53*$AC$68</f>
        <v>150</v>
      </c>
      <c r="AE12" s="75">
        <f t="shared" si="28"/>
        <v>150</v>
      </c>
      <c r="AF12" s="75">
        <f t="shared" si="28"/>
        <v>150</v>
      </c>
      <c r="AG12" s="75">
        <f t="shared" si="28"/>
        <v>150</v>
      </c>
      <c r="AH12" s="75">
        <f t="shared" si="28"/>
        <v>150</v>
      </c>
      <c r="AI12" s="75">
        <f t="shared" si="28"/>
        <v>150</v>
      </c>
      <c r="AJ12" s="75">
        <f t="shared" si="28"/>
        <v>150</v>
      </c>
      <c r="AK12" s="75">
        <f t="shared" si="28"/>
        <v>150</v>
      </c>
      <c r="AL12" s="75">
        <f t="shared" si="28"/>
        <v>150</v>
      </c>
      <c r="AM12" s="75">
        <f t="shared" si="28"/>
        <v>150</v>
      </c>
      <c r="AN12" s="75">
        <f t="shared" si="28"/>
        <v>150</v>
      </c>
      <c r="AQ12" s="90"/>
    </row>
    <row r="13" spans="1:47" s="67" customFormat="1" ht="15" customHeight="1" x14ac:dyDescent="0.3">
      <c r="B13" s="74" t="s">
        <v>176</v>
      </c>
      <c r="C13" s="75">
        <f>C54*$C$69</f>
        <v>0</v>
      </c>
      <c r="D13" s="75">
        <f t="shared" ref="D13:P13" si="29">D54*$C$69</f>
        <v>0</v>
      </c>
      <c r="E13" s="75">
        <f t="shared" si="29"/>
        <v>0</v>
      </c>
      <c r="F13" s="75">
        <f t="shared" si="29"/>
        <v>750</v>
      </c>
      <c r="G13" s="75">
        <f t="shared" si="29"/>
        <v>500</v>
      </c>
      <c r="H13" s="75">
        <f t="shared" si="29"/>
        <v>125</v>
      </c>
      <c r="I13" s="75">
        <f t="shared" si="29"/>
        <v>125</v>
      </c>
      <c r="J13" s="75">
        <f t="shared" si="29"/>
        <v>125</v>
      </c>
      <c r="K13" s="75">
        <f t="shared" si="29"/>
        <v>125</v>
      </c>
      <c r="L13" s="75">
        <f t="shared" si="29"/>
        <v>125</v>
      </c>
      <c r="M13" s="75">
        <f t="shared" si="29"/>
        <v>125</v>
      </c>
      <c r="N13" s="75">
        <f t="shared" si="29"/>
        <v>125</v>
      </c>
      <c r="O13" s="75">
        <f t="shared" si="29"/>
        <v>125</v>
      </c>
      <c r="P13" s="75">
        <f t="shared" si="29"/>
        <v>125</v>
      </c>
      <c r="Q13" s="75">
        <f>Q54*$Q$69</f>
        <v>125</v>
      </c>
      <c r="R13" s="75">
        <f t="shared" ref="R13:AB13" si="30">R54*$Q$69</f>
        <v>125</v>
      </c>
      <c r="S13" s="75">
        <f t="shared" si="30"/>
        <v>125</v>
      </c>
      <c r="T13" s="75">
        <f t="shared" si="30"/>
        <v>125</v>
      </c>
      <c r="U13" s="75">
        <f t="shared" si="30"/>
        <v>125</v>
      </c>
      <c r="V13" s="75">
        <f t="shared" si="30"/>
        <v>125</v>
      </c>
      <c r="W13" s="75">
        <f t="shared" si="30"/>
        <v>125</v>
      </c>
      <c r="X13" s="75">
        <f t="shared" si="30"/>
        <v>125</v>
      </c>
      <c r="Y13" s="75">
        <f t="shared" si="30"/>
        <v>125</v>
      </c>
      <c r="Z13" s="75">
        <f t="shared" si="30"/>
        <v>125</v>
      </c>
      <c r="AA13" s="75">
        <f t="shared" si="30"/>
        <v>125</v>
      </c>
      <c r="AB13" s="75">
        <f t="shared" si="30"/>
        <v>125</v>
      </c>
      <c r="AC13" s="75">
        <f>AC54*$AC$69</f>
        <v>125</v>
      </c>
      <c r="AD13" s="75">
        <f t="shared" ref="AD13:AN13" si="31">AD54*$AC$69</f>
        <v>125</v>
      </c>
      <c r="AE13" s="75">
        <f t="shared" si="31"/>
        <v>125</v>
      </c>
      <c r="AF13" s="75">
        <f t="shared" si="31"/>
        <v>125</v>
      </c>
      <c r="AG13" s="75">
        <f t="shared" si="31"/>
        <v>125</v>
      </c>
      <c r="AH13" s="75">
        <f t="shared" si="31"/>
        <v>125</v>
      </c>
      <c r="AI13" s="75">
        <f t="shared" si="31"/>
        <v>125</v>
      </c>
      <c r="AJ13" s="75">
        <f t="shared" si="31"/>
        <v>125</v>
      </c>
      <c r="AK13" s="75">
        <f t="shared" si="31"/>
        <v>125</v>
      </c>
      <c r="AL13" s="75">
        <f t="shared" si="31"/>
        <v>125</v>
      </c>
      <c r="AM13" s="75">
        <f t="shared" si="31"/>
        <v>125</v>
      </c>
      <c r="AN13" s="75">
        <f t="shared" si="31"/>
        <v>125</v>
      </c>
    </row>
    <row r="14" spans="1:47" s="67" customFormat="1" ht="15" customHeight="1" x14ac:dyDescent="0.3">
      <c r="B14" s="74" t="s">
        <v>160</v>
      </c>
      <c r="C14" s="75">
        <v>0</v>
      </c>
      <c r="D14" s="75">
        <v>0</v>
      </c>
      <c r="E14" s="75">
        <v>0</v>
      </c>
      <c r="F14" s="75">
        <v>0</v>
      </c>
      <c r="G14" s="75">
        <v>50</v>
      </c>
      <c r="H14" s="75">
        <v>50</v>
      </c>
      <c r="I14" s="75">
        <v>50</v>
      </c>
      <c r="J14" s="75">
        <v>50</v>
      </c>
      <c r="K14" s="75">
        <v>50</v>
      </c>
      <c r="L14" s="75">
        <v>50</v>
      </c>
      <c r="M14" s="75">
        <v>50</v>
      </c>
      <c r="N14" s="75">
        <v>50</v>
      </c>
      <c r="O14" s="75">
        <v>50</v>
      </c>
      <c r="P14" s="75">
        <v>50</v>
      </c>
      <c r="Q14" s="75">
        <v>50</v>
      </c>
      <c r="R14" s="75">
        <v>50</v>
      </c>
      <c r="S14" s="75">
        <v>50</v>
      </c>
      <c r="T14" s="75">
        <v>50</v>
      </c>
      <c r="U14" s="75">
        <v>50</v>
      </c>
      <c r="V14" s="75">
        <v>50</v>
      </c>
      <c r="W14" s="75">
        <v>50</v>
      </c>
      <c r="X14" s="75">
        <v>50</v>
      </c>
      <c r="Y14" s="75">
        <v>50</v>
      </c>
      <c r="Z14" s="75">
        <v>50</v>
      </c>
      <c r="AA14" s="75">
        <v>50</v>
      </c>
      <c r="AB14" s="75">
        <v>50</v>
      </c>
      <c r="AC14" s="75">
        <v>50</v>
      </c>
      <c r="AD14" s="75">
        <v>50</v>
      </c>
      <c r="AE14" s="75">
        <v>50</v>
      </c>
      <c r="AF14" s="75">
        <v>50</v>
      </c>
      <c r="AG14" s="75">
        <v>50</v>
      </c>
      <c r="AH14" s="75">
        <v>50</v>
      </c>
      <c r="AI14" s="75">
        <v>50</v>
      </c>
      <c r="AJ14" s="75">
        <v>50</v>
      </c>
      <c r="AK14" s="75">
        <v>50</v>
      </c>
      <c r="AL14" s="75">
        <v>50</v>
      </c>
      <c r="AM14" s="75">
        <v>50</v>
      </c>
      <c r="AN14" s="75">
        <v>50</v>
      </c>
    </row>
    <row r="15" spans="1:47" s="67" customFormat="1" ht="15" customHeight="1" x14ac:dyDescent="0.3"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</row>
    <row r="16" spans="1:47" s="73" customFormat="1" ht="15" customHeight="1" x14ac:dyDescent="0.3">
      <c r="A16" s="69"/>
      <c r="B16" s="77" t="s">
        <v>68</v>
      </c>
      <c r="C16" s="85">
        <f t="shared" ref="C16:AB16" si="32">SUM(C17:C34)</f>
        <v>-200</v>
      </c>
      <c r="D16" s="85">
        <f t="shared" si="32"/>
        <v>-845</v>
      </c>
      <c r="E16" s="85">
        <f t="shared" si="32"/>
        <v>-1125</v>
      </c>
      <c r="F16" s="85">
        <f t="shared" si="32"/>
        <v>-5565.6595867768592</v>
      </c>
      <c r="G16" s="85">
        <f t="shared" si="32"/>
        <v>-5983.9530578512395</v>
      </c>
      <c r="H16" s="85">
        <f t="shared" si="32"/>
        <v>-6189.8733057851241</v>
      </c>
      <c r="I16" s="85">
        <f t="shared" si="32"/>
        <v>-6467.6261983471068</v>
      </c>
      <c r="J16" s="85">
        <f t="shared" si="32"/>
        <v>-6593.0938842975202</v>
      </c>
      <c r="K16" s="85">
        <f t="shared" si="32"/>
        <v>-9545.3790909090912</v>
      </c>
      <c r="L16" s="85">
        <f t="shared" si="32"/>
        <v>-9545.3790909090912</v>
      </c>
      <c r="M16" s="85">
        <f t="shared" si="32"/>
        <v>-9823.1319834710739</v>
      </c>
      <c r="N16" s="85">
        <f t="shared" si="32"/>
        <v>-9931.3598347107436</v>
      </c>
      <c r="O16" s="85">
        <f t="shared" si="32"/>
        <v>-10049.668200413222</v>
      </c>
      <c r="P16" s="85">
        <f t="shared" si="32"/>
        <v>-10175.642905113637</v>
      </c>
      <c r="Q16" s="85">
        <f t="shared" si="32"/>
        <v>-10763.249650419744</v>
      </c>
      <c r="R16" s="85">
        <f t="shared" si="32"/>
        <v>-10913.28086542705</v>
      </c>
      <c r="S16" s="85">
        <f t="shared" si="32"/>
        <v>-11073.097562681116</v>
      </c>
      <c r="T16" s="85">
        <f t="shared" si="32"/>
        <v>-11243.360310406504</v>
      </c>
      <c r="U16" s="85">
        <f t="shared" si="32"/>
        <v>-11424.775552297428</v>
      </c>
      <c r="V16" s="85">
        <f t="shared" si="32"/>
        <v>-11618.098864820611</v>
      </c>
      <c r="W16" s="85">
        <f t="shared" si="32"/>
        <v>-11824.138449647993</v>
      </c>
      <c r="X16" s="85">
        <f t="shared" si="32"/>
        <v>-12043.75887839564</v>
      </c>
      <c r="Y16" s="85">
        <f t="shared" si="32"/>
        <v>-12277.885108110479</v>
      </c>
      <c r="Z16" s="85">
        <f t="shared" si="32"/>
        <v>-12436.536776859506</v>
      </c>
      <c r="AA16" s="85">
        <f t="shared" si="32"/>
        <v>-12664.695173553717</v>
      </c>
      <c r="AB16" s="85">
        <f t="shared" si="32"/>
        <v>-12664.695173553717</v>
      </c>
      <c r="AC16" s="85">
        <f t="shared" ref="AC16:AN16" si="33">SUM(AC17:AC34)</f>
        <v>-13029.089986033057</v>
      </c>
      <c r="AD16" s="85">
        <f t="shared" si="33"/>
        <v>-13029.089986033057</v>
      </c>
      <c r="AE16" s="85">
        <f t="shared" si="33"/>
        <v>-13029.089986033057</v>
      </c>
      <c r="AF16" s="85">
        <f t="shared" si="33"/>
        <v>-13029.089986033057</v>
      </c>
      <c r="AG16" s="85">
        <f t="shared" si="33"/>
        <v>-13029.089986033057</v>
      </c>
      <c r="AH16" s="85">
        <f t="shared" si="33"/>
        <v>-13029.089986033057</v>
      </c>
      <c r="AI16" s="85">
        <f t="shared" si="33"/>
        <v>-13029.089986033057</v>
      </c>
      <c r="AJ16" s="85">
        <f t="shared" si="33"/>
        <v>-13029.089986033057</v>
      </c>
      <c r="AK16" s="85">
        <f t="shared" si="33"/>
        <v>-13029.089986033057</v>
      </c>
      <c r="AL16" s="85">
        <f t="shared" si="33"/>
        <v>-13029.089986033057</v>
      </c>
      <c r="AM16" s="85">
        <f t="shared" si="33"/>
        <v>-13029.089986033057</v>
      </c>
      <c r="AN16" s="85">
        <f t="shared" si="33"/>
        <v>-13029.089986033057</v>
      </c>
      <c r="AO16" s="95">
        <f>SUM(C16:AN16)</f>
        <v>-389337.41933715472</v>
      </c>
    </row>
    <row r="17" spans="2:41" ht="15" customHeight="1" x14ac:dyDescent="0.3">
      <c r="B17" s="78" t="s">
        <v>151</v>
      </c>
      <c r="C17" s="75">
        <v>0</v>
      </c>
      <c r="D17" s="75">
        <v>0</v>
      </c>
      <c r="E17" s="75">
        <v>0</v>
      </c>
      <c r="F17" s="79">
        <v>-2800</v>
      </c>
      <c r="G17" s="79">
        <v>-2800</v>
      </c>
      <c r="H17" s="79">
        <v>-2800</v>
      </c>
      <c r="I17" s="79">
        <v>-2800</v>
      </c>
      <c r="J17" s="79">
        <v>-2800</v>
      </c>
      <c r="K17" s="79">
        <v>-2800</v>
      </c>
      <c r="L17" s="79">
        <v>-2800</v>
      </c>
      <c r="M17" s="79">
        <v>-2800</v>
      </c>
      <c r="N17" s="79">
        <v>-2800</v>
      </c>
      <c r="O17" s="79">
        <v>-2800</v>
      </c>
      <c r="P17" s="79">
        <v>-2800</v>
      </c>
      <c r="Q17" s="79">
        <v>-2940</v>
      </c>
      <c r="R17" s="79">
        <v>-2940</v>
      </c>
      <c r="S17" s="79">
        <v>-2940</v>
      </c>
      <c r="T17" s="79">
        <v>-2940</v>
      </c>
      <c r="U17" s="79">
        <v>-2940</v>
      </c>
      <c r="V17" s="79">
        <v>-2940</v>
      </c>
      <c r="W17" s="79">
        <v>-2940</v>
      </c>
      <c r="X17" s="79">
        <v>-2940</v>
      </c>
      <c r="Y17" s="79">
        <v>-2940</v>
      </c>
      <c r="Z17" s="79">
        <v>-2940</v>
      </c>
      <c r="AA17" s="79">
        <v>-2940</v>
      </c>
      <c r="AB17" s="79">
        <v>-2940</v>
      </c>
      <c r="AC17" s="79">
        <v>-3043</v>
      </c>
      <c r="AD17" s="79">
        <v>-3043</v>
      </c>
      <c r="AE17" s="79">
        <v>-3043</v>
      </c>
      <c r="AF17" s="79">
        <v>-3043</v>
      </c>
      <c r="AG17" s="79">
        <v>-3043</v>
      </c>
      <c r="AH17" s="79">
        <v>-3043</v>
      </c>
      <c r="AI17" s="79">
        <v>-3043</v>
      </c>
      <c r="AJ17" s="79">
        <v>-3043</v>
      </c>
      <c r="AK17" s="79">
        <v>-3043</v>
      </c>
      <c r="AL17" s="79">
        <v>-3043</v>
      </c>
      <c r="AM17" s="79">
        <v>-3043</v>
      </c>
      <c r="AN17" s="79">
        <v>-3043</v>
      </c>
      <c r="AO17" s="75"/>
    </row>
    <row r="18" spans="2:41" ht="15" customHeight="1" x14ac:dyDescent="0.3">
      <c r="B18" s="78" t="s">
        <v>175</v>
      </c>
      <c r="C18" s="75">
        <v>0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9">
        <v>-2800</v>
      </c>
      <c r="L18" s="79">
        <v>-2800</v>
      </c>
      <c r="M18" s="79">
        <v>-2800</v>
      </c>
      <c r="N18" s="79">
        <v>-2800</v>
      </c>
      <c r="O18" s="79">
        <v>-2800</v>
      </c>
      <c r="P18" s="79">
        <v>-2800</v>
      </c>
      <c r="Q18" s="79">
        <v>-2940</v>
      </c>
      <c r="R18" s="79">
        <v>-2940</v>
      </c>
      <c r="S18" s="79">
        <v>-2940</v>
      </c>
      <c r="T18" s="79">
        <v>-2940</v>
      </c>
      <c r="U18" s="79">
        <v>-2940</v>
      </c>
      <c r="V18" s="79">
        <v>-2940</v>
      </c>
      <c r="W18" s="79">
        <v>-2940</v>
      </c>
      <c r="X18" s="79">
        <v>-2940</v>
      </c>
      <c r="Y18" s="79">
        <v>-2940</v>
      </c>
      <c r="Z18" s="79">
        <v>-2940</v>
      </c>
      <c r="AA18" s="79">
        <v>-2940</v>
      </c>
      <c r="AB18" s="79">
        <v>-2940</v>
      </c>
      <c r="AC18" s="79">
        <v>-3043</v>
      </c>
      <c r="AD18" s="79">
        <v>-3043</v>
      </c>
      <c r="AE18" s="79">
        <v>-3043</v>
      </c>
      <c r="AF18" s="79">
        <v>-3043</v>
      </c>
      <c r="AG18" s="79">
        <v>-3043</v>
      </c>
      <c r="AH18" s="79">
        <v>-3043</v>
      </c>
      <c r="AI18" s="79">
        <v>-3043</v>
      </c>
      <c r="AJ18" s="79">
        <v>-3043</v>
      </c>
      <c r="AK18" s="79">
        <v>-3043</v>
      </c>
      <c r="AL18" s="79">
        <v>-3043</v>
      </c>
      <c r="AM18" s="79">
        <v>-3043</v>
      </c>
      <c r="AN18" s="79">
        <v>-3043</v>
      </c>
      <c r="AO18" s="75"/>
    </row>
    <row r="19" spans="2:41" ht="15" customHeight="1" x14ac:dyDescent="0.3">
      <c r="B19" s="78" t="s">
        <v>172</v>
      </c>
      <c r="C19" s="75">
        <v>0</v>
      </c>
      <c r="D19" s="79">
        <v>-645</v>
      </c>
      <c r="E19" s="79">
        <v>-645</v>
      </c>
      <c r="F19" s="79">
        <v>-645</v>
      </c>
      <c r="G19" s="79">
        <v>-645</v>
      </c>
      <c r="H19" s="79">
        <v>-645</v>
      </c>
      <c r="I19" s="79">
        <v>-645</v>
      </c>
      <c r="J19" s="79">
        <v>-645</v>
      </c>
      <c r="K19" s="79">
        <v>-645</v>
      </c>
      <c r="L19" s="79">
        <v>-645</v>
      </c>
      <c r="M19" s="79">
        <v>-645</v>
      </c>
      <c r="N19" s="79">
        <v>-645</v>
      </c>
      <c r="O19" s="79">
        <v>-645</v>
      </c>
      <c r="P19" s="79">
        <v>-645</v>
      </c>
      <c r="Q19" s="79">
        <v>-645</v>
      </c>
      <c r="R19" s="79">
        <v>-645</v>
      </c>
      <c r="S19" s="79">
        <v>-645</v>
      </c>
      <c r="T19" s="79">
        <v>-645</v>
      </c>
      <c r="U19" s="79">
        <v>-645</v>
      </c>
      <c r="V19" s="79">
        <v>-645</v>
      </c>
      <c r="W19" s="79">
        <v>-645</v>
      </c>
      <c r="X19" s="79">
        <v>-645</v>
      </c>
      <c r="Y19" s="79">
        <v>-645</v>
      </c>
      <c r="Z19" s="79">
        <v>-645</v>
      </c>
      <c r="AA19" s="79">
        <v>-645</v>
      </c>
      <c r="AB19" s="79">
        <v>-645</v>
      </c>
      <c r="AC19" s="79">
        <v>-645</v>
      </c>
      <c r="AD19" s="79">
        <v>-645</v>
      </c>
      <c r="AE19" s="79">
        <v>-645</v>
      </c>
      <c r="AF19" s="79">
        <v>-645</v>
      </c>
      <c r="AG19" s="79">
        <v>-645</v>
      </c>
      <c r="AH19" s="79">
        <v>-645</v>
      </c>
      <c r="AI19" s="79">
        <v>-645</v>
      </c>
      <c r="AJ19" s="79">
        <v>-645</v>
      </c>
      <c r="AK19" s="79">
        <v>-645</v>
      </c>
      <c r="AL19" s="79">
        <v>-645</v>
      </c>
      <c r="AM19" s="79">
        <v>-645</v>
      </c>
      <c r="AN19" s="79">
        <v>-645</v>
      </c>
      <c r="AO19" s="75"/>
    </row>
    <row r="20" spans="2:41" ht="15" customHeight="1" x14ac:dyDescent="0.3">
      <c r="B20" s="78" t="s">
        <v>173</v>
      </c>
      <c r="C20" s="75">
        <v>0</v>
      </c>
      <c r="D20" s="75">
        <v>0</v>
      </c>
      <c r="E20" s="75">
        <v>0</v>
      </c>
      <c r="F20" s="79">
        <v>-397</v>
      </c>
      <c r="G20" s="79">
        <v>-397</v>
      </c>
      <c r="H20" s="79">
        <v>-397</v>
      </c>
      <c r="I20" s="79">
        <v>-397</v>
      </c>
      <c r="J20" s="79">
        <v>-397</v>
      </c>
      <c r="K20" s="79">
        <v>-397</v>
      </c>
      <c r="L20" s="79">
        <v>-397</v>
      </c>
      <c r="M20" s="79">
        <v>-397</v>
      </c>
      <c r="N20" s="79">
        <v>-397</v>
      </c>
      <c r="O20" s="79">
        <v>-397</v>
      </c>
      <c r="P20" s="79">
        <v>-397</v>
      </c>
      <c r="Q20" s="79">
        <v>-397</v>
      </c>
      <c r="R20" s="79">
        <v>-397</v>
      </c>
      <c r="S20" s="79">
        <v>-397</v>
      </c>
      <c r="T20" s="79">
        <v>-397</v>
      </c>
      <c r="U20" s="79">
        <v>-397</v>
      </c>
      <c r="V20" s="79">
        <v>-397</v>
      </c>
      <c r="W20" s="79">
        <v>-397</v>
      </c>
      <c r="X20" s="79">
        <v>-397</v>
      </c>
      <c r="Y20" s="79">
        <v>-397</v>
      </c>
      <c r="Z20" s="79">
        <v>-397</v>
      </c>
      <c r="AA20" s="79">
        <v>-397</v>
      </c>
      <c r="AB20" s="79">
        <v>-397</v>
      </c>
      <c r="AC20" s="79">
        <v>-397</v>
      </c>
      <c r="AD20" s="79">
        <v>-397</v>
      </c>
      <c r="AE20" s="79">
        <v>-397</v>
      </c>
      <c r="AF20" s="79">
        <v>-397</v>
      </c>
      <c r="AG20" s="79">
        <v>-397</v>
      </c>
      <c r="AH20" s="79">
        <v>-397</v>
      </c>
      <c r="AI20" s="79">
        <v>-397</v>
      </c>
      <c r="AJ20" s="79">
        <v>-397</v>
      </c>
      <c r="AK20" s="79">
        <v>-397</v>
      </c>
      <c r="AL20" s="79">
        <v>-397</v>
      </c>
      <c r="AM20" s="79">
        <v>-397</v>
      </c>
      <c r="AN20" s="79">
        <v>-397</v>
      </c>
      <c r="AO20" s="75"/>
    </row>
    <row r="21" spans="2:41" x14ac:dyDescent="0.3">
      <c r="B21" s="74" t="s">
        <v>150</v>
      </c>
      <c r="C21" s="75">
        <v>0</v>
      </c>
      <c r="D21" s="75">
        <v>0</v>
      </c>
      <c r="E21" s="75">
        <v>0</v>
      </c>
      <c r="F21" s="79">
        <v>-480</v>
      </c>
      <c r="G21" s="79">
        <v>-480</v>
      </c>
      <c r="H21" s="79">
        <v>-480</v>
      </c>
      <c r="I21" s="79">
        <v>-480</v>
      </c>
      <c r="J21" s="79">
        <v>-480</v>
      </c>
      <c r="K21" s="79">
        <v>-480</v>
      </c>
      <c r="L21" s="79">
        <v>-480</v>
      </c>
      <c r="M21" s="79">
        <v>-480</v>
      </c>
      <c r="N21" s="79">
        <v>-480</v>
      </c>
      <c r="O21" s="79">
        <v>-480</v>
      </c>
      <c r="P21" s="79">
        <v>-480</v>
      </c>
      <c r="Q21" s="79">
        <v>-480</v>
      </c>
      <c r="R21" s="79">
        <v>-480</v>
      </c>
      <c r="S21" s="79">
        <v>-480</v>
      </c>
      <c r="T21" s="79">
        <v>-480</v>
      </c>
      <c r="U21" s="79">
        <v>-480</v>
      </c>
      <c r="V21" s="79">
        <v>-480</v>
      </c>
      <c r="W21" s="79">
        <v>-480</v>
      </c>
      <c r="X21" s="79">
        <v>-480</v>
      </c>
      <c r="Y21" s="79">
        <v>-480</v>
      </c>
      <c r="Z21" s="79">
        <v>-480</v>
      </c>
      <c r="AA21" s="79">
        <v>-680</v>
      </c>
      <c r="AB21" s="79">
        <v>-680</v>
      </c>
      <c r="AC21" s="79">
        <v>-680</v>
      </c>
      <c r="AD21" s="79">
        <v>-680</v>
      </c>
      <c r="AE21" s="79">
        <v>-680</v>
      </c>
      <c r="AF21" s="79">
        <v>-680</v>
      </c>
      <c r="AG21" s="79">
        <v>-680</v>
      </c>
      <c r="AH21" s="79">
        <v>-680</v>
      </c>
      <c r="AI21" s="79">
        <v>-680</v>
      </c>
      <c r="AJ21" s="79">
        <v>-680</v>
      </c>
      <c r="AK21" s="79">
        <v>-680</v>
      </c>
      <c r="AL21" s="79">
        <v>-680</v>
      </c>
      <c r="AM21" s="79">
        <v>-680</v>
      </c>
      <c r="AN21" s="79">
        <v>-680</v>
      </c>
    </row>
    <row r="22" spans="2:41" x14ac:dyDescent="0.3">
      <c r="B22" s="74" t="s">
        <v>174</v>
      </c>
      <c r="C22" s="75">
        <v>0</v>
      </c>
      <c r="D22" s="75">
        <v>0</v>
      </c>
      <c r="E22" s="75">
        <v>0</v>
      </c>
      <c r="F22" s="79">
        <f>(F6/1.21)-F6</f>
        <v>-459.04958677685954</v>
      </c>
      <c r="G22" s="79">
        <f>(G6/1.21)-G6</f>
        <v>-866.03305785123939</v>
      </c>
      <c r="H22" s="79">
        <f>(H6/1.21)-H6</f>
        <v>-1052.6033057851237</v>
      </c>
      <c r="I22" s="79">
        <f t="shared" ref="I22:AB22" si="34">(I6/1.21)-I6</f>
        <v>-1304.2561983471069</v>
      </c>
      <c r="J22" s="79">
        <f t="shared" si="34"/>
        <v>-1417.9338842975203</v>
      </c>
      <c r="K22" s="79">
        <f t="shared" si="34"/>
        <v>-1555.909090909091</v>
      </c>
      <c r="L22" s="79">
        <f t="shared" si="34"/>
        <v>-1555.909090909091</v>
      </c>
      <c r="M22" s="79">
        <f t="shared" si="34"/>
        <v>-1807.5619834710742</v>
      </c>
      <c r="N22" s="79">
        <f t="shared" si="34"/>
        <v>-1905.6198347107438</v>
      </c>
      <c r="O22" s="79">
        <f t="shared" si="34"/>
        <v>-2012.8109504132226</v>
      </c>
      <c r="P22" s="79">
        <f t="shared" si="34"/>
        <v>-2126.9480113636364</v>
      </c>
      <c r="Q22" s="79">
        <f t="shared" si="34"/>
        <v>-2358.5357950994312</v>
      </c>
      <c r="R22" s="79">
        <f t="shared" si="34"/>
        <v>-2494.4688141327151</v>
      </c>
      <c r="S22" s="79">
        <f t="shared" si="34"/>
        <v>-2639.2677891234543</v>
      </c>
      <c r="T22" s="79">
        <f t="shared" si="34"/>
        <v>-2793.5312157449553</v>
      </c>
      <c r="U22" s="79">
        <f t="shared" si="34"/>
        <v>-2957.8991542948479</v>
      </c>
      <c r="V22" s="79">
        <f t="shared" si="34"/>
        <v>-3133.056180914351</v>
      </c>
      <c r="W22" s="79">
        <f t="shared" si="34"/>
        <v>-3319.7345518426027</v>
      </c>
      <c r="X22" s="79">
        <f t="shared" si="34"/>
        <v>-3518.7175962683759</v>
      </c>
      <c r="Y22" s="79">
        <f t="shared" si="34"/>
        <v>-3730.843354487879</v>
      </c>
      <c r="Z22" s="79">
        <f t="shared" si="34"/>
        <v>-3874.5867768595053</v>
      </c>
      <c r="AA22" s="79">
        <f t="shared" si="34"/>
        <v>-3900.0991735537173</v>
      </c>
      <c r="AB22" s="79">
        <f t="shared" si="34"/>
        <v>-3900.0991735537173</v>
      </c>
      <c r="AC22" s="79">
        <f t="shared" ref="AC22:AN22" si="35">(AC6/1.21)-AC6</f>
        <v>-4043.6098760330569</v>
      </c>
      <c r="AD22" s="79">
        <f t="shared" si="35"/>
        <v>-4043.6098760330569</v>
      </c>
      <c r="AE22" s="79">
        <f t="shared" si="35"/>
        <v>-4043.6098760330569</v>
      </c>
      <c r="AF22" s="79">
        <f t="shared" si="35"/>
        <v>-4043.6098760330569</v>
      </c>
      <c r="AG22" s="79">
        <f t="shared" si="35"/>
        <v>-4043.6098760330569</v>
      </c>
      <c r="AH22" s="79">
        <f t="shared" si="35"/>
        <v>-4043.6098760330569</v>
      </c>
      <c r="AI22" s="79">
        <f t="shared" si="35"/>
        <v>-4043.6098760330569</v>
      </c>
      <c r="AJ22" s="79">
        <f t="shared" si="35"/>
        <v>-4043.6098760330569</v>
      </c>
      <c r="AK22" s="79">
        <f t="shared" si="35"/>
        <v>-4043.6098760330569</v>
      </c>
      <c r="AL22" s="79">
        <f t="shared" si="35"/>
        <v>-4043.6098760330569</v>
      </c>
      <c r="AM22" s="79">
        <f t="shared" si="35"/>
        <v>-4043.6098760330569</v>
      </c>
      <c r="AN22" s="79">
        <f t="shared" si="35"/>
        <v>-4043.6098760330569</v>
      </c>
    </row>
    <row r="23" spans="2:41" x14ac:dyDescent="0.3">
      <c r="B23" s="32" t="s">
        <v>219</v>
      </c>
      <c r="C23" s="75">
        <f>SUM(C7:C13)*(-0.02)</f>
        <v>0</v>
      </c>
      <c r="D23" s="75">
        <f>SUM(D7:D13)*(-0.02)</f>
        <v>0</v>
      </c>
      <c r="E23" s="75">
        <v>0</v>
      </c>
      <c r="F23" s="79">
        <f>SUM(F7:F13)*(-0.018)</f>
        <v>-47.61</v>
      </c>
      <c r="G23" s="79">
        <f t="shared" ref="G23:AN23" si="36">SUM(G7:G13)*(-0.018)</f>
        <v>-88.919999999999987</v>
      </c>
      <c r="H23" s="79">
        <f t="shared" si="36"/>
        <v>-108.27</v>
      </c>
      <c r="I23" s="79">
        <f t="shared" si="36"/>
        <v>-134.36999999999998</v>
      </c>
      <c r="J23" s="79">
        <f t="shared" si="36"/>
        <v>-146.16</v>
      </c>
      <c r="K23" s="79">
        <f t="shared" si="36"/>
        <v>-160.47</v>
      </c>
      <c r="L23" s="79">
        <f t="shared" si="36"/>
        <v>-160.47</v>
      </c>
      <c r="M23" s="79">
        <f t="shared" si="36"/>
        <v>-186.57</v>
      </c>
      <c r="N23" s="79">
        <f t="shared" si="36"/>
        <v>-196.73999999999998</v>
      </c>
      <c r="O23" s="79">
        <f t="shared" si="36"/>
        <v>-207.85724999999999</v>
      </c>
      <c r="P23" s="79">
        <f t="shared" si="36"/>
        <v>-219.69489374999998</v>
      </c>
      <c r="Q23" s="79">
        <f t="shared" si="36"/>
        <v>-243.71385532031249</v>
      </c>
      <c r="R23" s="79">
        <f t="shared" si="36"/>
        <v>-257.8120512943359</v>
      </c>
      <c r="S23" s="79">
        <f t="shared" si="36"/>
        <v>-272.8297735576611</v>
      </c>
      <c r="T23" s="79">
        <f t="shared" si="36"/>
        <v>-288.8290946615482</v>
      </c>
      <c r="U23" s="79">
        <f t="shared" si="36"/>
        <v>-305.87639800257995</v>
      </c>
      <c r="V23" s="79">
        <f t="shared" si="36"/>
        <v>-324.04268390625981</v>
      </c>
      <c r="W23" s="79">
        <f t="shared" si="36"/>
        <v>-343.40389780539005</v>
      </c>
      <c r="X23" s="79">
        <f t="shared" si="36"/>
        <v>-364.04128212726306</v>
      </c>
      <c r="Y23" s="79">
        <f t="shared" si="36"/>
        <v>-386.04175362260003</v>
      </c>
      <c r="Z23" s="79">
        <f t="shared" si="36"/>
        <v>-400.95</v>
      </c>
      <c r="AA23" s="79">
        <f t="shared" si="36"/>
        <v>-403.59599999999995</v>
      </c>
      <c r="AB23" s="79">
        <f t="shared" si="36"/>
        <v>-403.59599999999995</v>
      </c>
      <c r="AC23" s="79">
        <f t="shared" si="36"/>
        <v>-418.48010999999991</v>
      </c>
      <c r="AD23" s="79">
        <f t="shared" si="36"/>
        <v>-418.48010999999991</v>
      </c>
      <c r="AE23" s="79">
        <f t="shared" si="36"/>
        <v>-418.48010999999991</v>
      </c>
      <c r="AF23" s="79">
        <f t="shared" si="36"/>
        <v>-418.48010999999991</v>
      </c>
      <c r="AG23" s="79">
        <f t="shared" si="36"/>
        <v>-418.48010999999991</v>
      </c>
      <c r="AH23" s="79">
        <f t="shared" si="36"/>
        <v>-418.48010999999991</v>
      </c>
      <c r="AI23" s="79">
        <f t="shared" si="36"/>
        <v>-418.48010999999991</v>
      </c>
      <c r="AJ23" s="79">
        <f t="shared" si="36"/>
        <v>-418.48010999999991</v>
      </c>
      <c r="AK23" s="79">
        <f t="shared" si="36"/>
        <v>-418.48010999999991</v>
      </c>
      <c r="AL23" s="79">
        <f t="shared" si="36"/>
        <v>-418.48010999999991</v>
      </c>
      <c r="AM23" s="79">
        <f t="shared" si="36"/>
        <v>-418.48010999999991</v>
      </c>
      <c r="AN23" s="79">
        <f t="shared" si="36"/>
        <v>-418.48010999999991</v>
      </c>
    </row>
    <row r="24" spans="2:41" x14ac:dyDescent="0.3">
      <c r="B24" s="32" t="s">
        <v>220</v>
      </c>
      <c r="C24" s="75">
        <v>0</v>
      </c>
      <c r="D24" s="75">
        <v>0</v>
      </c>
      <c r="E24" s="75">
        <v>0</v>
      </c>
      <c r="F24" s="79">
        <v>-107</v>
      </c>
      <c r="G24" s="79">
        <v>-107</v>
      </c>
      <c r="H24" s="79">
        <v>-107</v>
      </c>
      <c r="I24" s="79">
        <v>-107</v>
      </c>
      <c r="J24" s="79">
        <v>-107</v>
      </c>
      <c r="K24" s="79">
        <v>-107</v>
      </c>
      <c r="L24" s="79">
        <v>-107</v>
      </c>
      <c r="M24" s="79">
        <v>-107</v>
      </c>
      <c r="N24" s="79">
        <v>-107</v>
      </c>
      <c r="O24" s="79">
        <v>-107</v>
      </c>
      <c r="P24" s="79">
        <v>-107</v>
      </c>
      <c r="Q24" s="79">
        <v>-159</v>
      </c>
      <c r="R24" s="79">
        <v>-159</v>
      </c>
      <c r="S24" s="79">
        <v>-159</v>
      </c>
      <c r="T24" s="79">
        <v>-159</v>
      </c>
      <c r="U24" s="79">
        <v>-159</v>
      </c>
      <c r="V24" s="79">
        <v>-159</v>
      </c>
      <c r="W24" s="79">
        <v>-159</v>
      </c>
      <c r="X24" s="79">
        <v>-159</v>
      </c>
      <c r="Y24" s="79">
        <v>-159</v>
      </c>
      <c r="Z24" s="79">
        <v>-159</v>
      </c>
      <c r="AA24" s="79">
        <v>-159</v>
      </c>
      <c r="AB24" s="79">
        <v>-159</v>
      </c>
      <c r="AC24" s="79">
        <v>-159</v>
      </c>
      <c r="AD24" s="79">
        <v>-159</v>
      </c>
      <c r="AE24" s="79">
        <v>-159</v>
      </c>
      <c r="AF24" s="79">
        <v>-159</v>
      </c>
      <c r="AG24" s="79">
        <v>-159</v>
      </c>
      <c r="AH24" s="79">
        <v>-159</v>
      </c>
      <c r="AI24" s="79">
        <v>-159</v>
      </c>
      <c r="AJ24" s="79">
        <v>-159</v>
      </c>
      <c r="AK24" s="79">
        <v>-159</v>
      </c>
      <c r="AL24" s="79">
        <v>-159</v>
      </c>
      <c r="AM24" s="79">
        <v>-159</v>
      </c>
      <c r="AN24" s="79">
        <v>-159</v>
      </c>
    </row>
    <row r="25" spans="2:41" x14ac:dyDescent="0.3">
      <c r="B25" s="74" t="s">
        <v>158</v>
      </c>
      <c r="C25" s="79">
        <v>-200</v>
      </c>
      <c r="D25" s="79">
        <v>-200</v>
      </c>
      <c r="E25" s="79">
        <v>-200</v>
      </c>
      <c r="F25" s="79">
        <v>-200</v>
      </c>
      <c r="G25" s="79">
        <v>-200</v>
      </c>
      <c r="H25" s="79">
        <v>-200</v>
      </c>
      <c r="I25" s="79">
        <v>-200</v>
      </c>
      <c r="J25" s="79">
        <v>-200</v>
      </c>
      <c r="K25" s="79">
        <v>-200</v>
      </c>
      <c r="L25" s="79">
        <v>-200</v>
      </c>
      <c r="M25" s="79">
        <v>-200</v>
      </c>
      <c r="N25" s="79">
        <v>-200</v>
      </c>
      <c r="O25" s="79">
        <v>-200</v>
      </c>
      <c r="P25" s="79">
        <v>-200</v>
      </c>
      <c r="Q25" s="79">
        <v>-200</v>
      </c>
      <c r="R25" s="79">
        <v>-200</v>
      </c>
      <c r="S25" s="79">
        <v>-200</v>
      </c>
      <c r="T25" s="79">
        <v>-200</v>
      </c>
      <c r="U25" s="79">
        <v>-200</v>
      </c>
      <c r="V25" s="79">
        <v>-200</v>
      </c>
      <c r="W25" s="79">
        <v>-200</v>
      </c>
      <c r="X25" s="79">
        <v>-200</v>
      </c>
      <c r="Y25" s="79">
        <v>-200</v>
      </c>
      <c r="Z25" s="79">
        <v>-200</v>
      </c>
      <c r="AA25" s="79">
        <v>-200</v>
      </c>
      <c r="AB25" s="79">
        <v>-200</v>
      </c>
      <c r="AC25" s="79">
        <v>-200</v>
      </c>
      <c r="AD25" s="79">
        <v>-200</v>
      </c>
      <c r="AE25" s="79">
        <v>-200</v>
      </c>
      <c r="AF25" s="79">
        <v>-200</v>
      </c>
      <c r="AG25" s="79">
        <v>-200</v>
      </c>
      <c r="AH25" s="79">
        <v>-200</v>
      </c>
      <c r="AI25" s="79">
        <v>-200</v>
      </c>
      <c r="AJ25" s="79">
        <v>-200</v>
      </c>
      <c r="AK25" s="79">
        <v>-200</v>
      </c>
      <c r="AL25" s="79">
        <v>-200</v>
      </c>
      <c r="AM25" s="79">
        <v>-200</v>
      </c>
      <c r="AN25" s="79">
        <v>-200</v>
      </c>
    </row>
    <row r="26" spans="2:41" x14ac:dyDescent="0.3">
      <c r="B26" s="74" t="s">
        <v>152</v>
      </c>
      <c r="C26" s="75">
        <v>0</v>
      </c>
      <c r="D26" s="75">
        <v>0</v>
      </c>
      <c r="E26" s="79">
        <v>-200</v>
      </c>
      <c r="F26" s="79">
        <v>-200</v>
      </c>
      <c r="G26" s="79">
        <v>-200</v>
      </c>
      <c r="H26" s="79">
        <v>-200</v>
      </c>
      <c r="I26" s="79">
        <v>-200</v>
      </c>
      <c r="J26" s="79">
        <v>-200</v>
      </c>
      <c r="K26" s="79">
        <v>-200</v>
      </c>
      <c r="L26" s="79">
        <v>-200</v>
      </c>
      <c r="M26" s="79">
        <v>-200</v>
      </c>
      <c r="N26" s="79">
        <v>-200</v>
      </c>
      <c r="O26" s="79">
        <v>-200</v>
      </c>
      <c r="P26" s="79">
        <v>-200</v>
      </c>
      <c r="Q26" s="79">
        <v>-200</v>
      </c>
      <c r="R26" s="79">
        <v>-200</v>
      </c>
      <c r="S26" s="79">
        <v>-200</v>
      </c>
      <c r="T26" s="79">
        <v>-200</v>
      </c>
      <c r="U26" s="79">
        <v>-200</v>
      </c>
      <c r="V26" s="79">
        <v>-200</v>
      </c>
      <c r="W26" s="79">
        <v>-200</v>
      </c>
      <c r="X26" s="79">
        <v>-200</v>
      </c>
      <c r="Y26" s="79">
        <v>-200</v>
      </c>
      <c r="Z26" s="79">
        <v>-200</v>
      </c>
      <c r="AA26" s="79">
        <v>-200</v>
      </c>
      <c r="AB26" s="79">
        <v>-200</v>
      </c>
      <c r="AC26" s="79">
        <v>-200</v>
      </c>
      <c r="AD26" s="79">
        <v>-200</v>
      </c>
      <c r="AE26" s="79">
        <v>-200</v>
      </c>
      <c r="AF26" s="79">
        <v>-200</v>
      </c>
      <c r="AG26" s="79">
        <v>-200</v>
      </c>
      <c r="AH26" s="79">
        <v>-200</v>
      </c>
      <c r="AI26" s="79">
        <v>-200</v>
      </c>
      <c r="AJ26" s="79">
        <v>-200</v>
      </c>
      <c r="AK26" s="79">
        <v>-200</v>
      </c>
      <c r="AL26" s="79">
        <v>-200</v>
      </c>
      <c r="AM26" s="79">
        <v>-200</v>
      </c>
      <c r="AN26" s="79">
        <v>-200</v>
      </c>
    </row>
    <row r="27" spans="2:41" x14ac:dyDescent="0.3">
      <c r="B27" s="74" t="s">
        <v>153</v>
      </c>
      <c r="C27" s="75">
        <v>0</v>
      </c>
      <c r="D27" s="75">
        <v>0</v>
      </c>
      <c r="E27" s="79">
        <v>-80</v>
      </c>
      <c r="F27" s="79">
        <v>-80</v>
      </c>
      <c r="G27" s="79">
        <v>-50</v>
      </c>
      <c r="H27" s="79">
        <v>-50</v>
      </c>
      <c r="I27" s="79">
        <v>-50</v>
      </c>
      <c r="J27" s="79">
        <v>-50</v>
      </c>
      <c r="K27" s="79">
        <v>-50</v>
      </c>
      <c r="L27" s="79">
        <v>-50</v>
      </c>
      <c r="M27" s="79">
        <v>-50</v>
      </c>
      <c r="N27" s="79">
        <v>-50</v>
      </c>
      <c r="O27" s="79">
        <v>-50</v>
      </c>
      <c r="P27" s="79">
        <v>-50</v>
      </c>
      <c r="Q27" s="79">
        <v>-50</v>
      </c>
      <c r="R27" s="79">
        <v>-50</v>
      </c>
      <c r="S27" s="79">
        <v>-50</v>
      </c>
      <c r="T27" s="79">
        <v>-50</v>
      </c>
      <c r="U27" s="79">
        <v>-50</v>
      </c>
      <c r="V27" s="79">
        <v>-50</v>
      </c>
      <c r="W27" s="79">
        <v>-50</v>
      </c>
      <c r="X27" s="79">
        <v>-50</v>
      </c>
      <c r="Y27" s="79">
        <v>-50</v>
      </c>
      <c r="Z27" s="79">
        <v>-50</v>
      </c>
      <c r="AA27" s="79">
        <v>-50</v>
      </c>
      <c r="AB27" s="79">
        <v>-50</v>
      </c>
      <c r="AC27" s="79">
        <v>-50</v>
      </c>
      <c r="AD27" s="79">
        <v>-50</v>
      </c>
      <c r="AE27" s="79">
        <v>-50</v>
      </c>
      <c r="AF27" s="79">
        <v>-50</v>
      </c>
      <c r="AG27" s="79">
        <v>-50</v>
      </c>
      <c r="AH27" s="79">
        <v>-50</v>
      </c>
      <c r="AI27" s="79">
        <v>-50</v>
      </c>
      <c r="AJ27" s="79">
        <v>-50</v>
      </c>
      <c r="AK27" s="79">
        <v>-50</v>
      </c>
      <c r="AL27" s="79">
        <v>-50</v>
      </c>
      <c r="AM27" s="79">
        <v>-50</v>
      </c>
      <c r="AN27" s="79">
        <v>-50</v>
      </c>
    </row>
    <row r="28" spans="2:41" x14ac:dyDescent="0.3">
      <c r="B28" s="74" t="s">
        <v>155</v>
      </c>
      <c r="C28" s="75">
        <v>0</v>
      </c>
      <c r="D28" s="75">
        <v>0</v>
      </c>
      <c r="E28" s="75">
        <v>0</v>
      </c>
      <c r="F28" s="79">
        <v>-30</v>
      </c>
      <c r="G28" s="79">
        <v>-30</v>
      </c>
      <c r="H28" s="79">
        <v>-30</v>
      </c>
      <c r="I28" s="79">
        <v>-30</v>
      </c>
      <c r="J28" s="79">
        <v>-30</v>
      </c>
      <c r="K28" s="79">
        <v>-30</v>
      </c>
      <c r="L28" s="79">
        <v>-30</v>
      </c>
      <c r="M28" s="79">
        <v>-30</v>
      </c>
      <c r="N28" s="79">
        <v>-30</v>
      </c>
      <c r="O28" s="79">
        <v>-30</v>
      </c>
      <c r="P28" s="79">
        <v>-30</v>
      </c>
      <c r="Q28" s="79">
        <v>-30</v>
      </c>
      <c r="R28" s="79">
        <v>-30</v>
      </c>
      <c r="S28" s="79">
        <v>-30</v>
      </c>
      <c r="T28" s="79">
        <v>-30</v>
      </c>
      <c r="U28" s="79">
        <v>-30</v>
      </c>
      <c r="V28" s="79">
        <v>-30</v>
      </c>
      <c r="W28" s="79">
        <v>-30</v>
      </c>
      <c r="X28" s="79">
        <v>-30</v>
      </c>
      <c r="Y28" s="79">
        <v>-30</v>
      </c>
      <c r="Z28" s="79">
        <v>-30</v>
      </c>
      <c r="AA28" s="79">
        <v>-30</v>
      </c>
      <c r="AB28" s="79">
        <v>-30</v>
      </c>
      <c r="AC28" s="79">
        <v>-30</v>
      </c>
      <c r="AD28" s="79">
        <v>-30</v>
      </c>
      <c r="AE28" s="79">
        <v>-30</v>
      </c>
      <c r="AF28" s="79">
        <v>-30</v>
      </c>
      <c r="AG28" s="79">
        <v>-30</v>
      </c>
      <c r="AH28" s="79">
        <v>-30</v>
      </c>
      <c r="AI28" s="79">
        <v>-30</v>
      </c>
      <c r="AJ28" s="79">
        <v>-30</v>
      </c>
      <c r="AK28" s="79">
        <v>-30</v>
      </c>
      <c r="AL28" s="79">
        <v>-30</v>
      </c>
      <c r="AM28" s="79">
        <v>-30</v>
      </c>
      <c r="AN28" s="79">
        <v>-30</v>
      </c>
    </row>
    <row r="29" spans="2:41" x14ac:dyDescent="0.3">
      <c r="B29" s="74" t="s">
        <v>156</v>
      </c>
      <c r="C29" s="75">
        <v>0</v>
      </c>
      <c r="D29" s="75">
        <v>0</v>
      </c>
      <c r="E29" s="75">
        <v>0</v>
      </c>
      <c r="F29" s="79">
        <v>-30</v>
      </c>
      <c r="G29" s="79">
        <v>-30</v>
      </c>
      <c r="H29" s="79">
        <v>-30</v>
      </c>
      <c r="I29" s="79">
        <v>-30</v>
      </c>
      <c r="J29" s="79">
        <v>-30</v>
      </c>
      <c r="K29" s="79">
        <v>-30</v>
      </c>
      <c r="L29" s="79">
        <v>-30</v>
      </c>
      <c r="M29" s="79">
        <v>-30</v>
      </c>
      <c r="N29" s="79">
        <v>-30</v>
      </c>
      <c r="O29" s="79">
        <v>-30</v>
      </c>
      <c r="P29" s="79">
        <v>-30</v>
      </c>
      <c r="Q29" s="79">
        <v>-30</v>
      </c>
      <c r="R29" s="79">
        <v>-30</v>
      </c>
      <c r="S29" s="79">
        <v>-30</v>
      </c>
      <c r="T29" s="79">
        <v>-30</v>
      </c>
      <c r="U29" s="79">
        <v>-30</v>
      </c>
      <c r="V29" s="79">
        <v>-30</v>
      </c>
      <c r="W29" s="79">
        <v>-30</v>
      </c>
      <c r="X29" s="79">
        <v>-30</v>
      </c>
      <c r="Y29" s="79">
        <v>-30</v>
      </c>
      <c r="Z29" s="79">
        <v>-30</v>
      </c>
      <c r="AA29" s="79">
        <v>-30</v>
      </c>
      <c r="AB29" s="79">
        <v>-30</v>
      </c>
      <c r="AC29" s="79">
        <v>-30</v>
      </c>
      <c r="AD29" s="79">
        <v>-30</v>
      </c>
      <c r="AE29" s="79">
        <v>-30</v>
      </c>
      <c r="AF29" s="79">
        <v>-30</v>
      </c>
      <c r="AG29" s="79">
        <v>-30</v>
      </c>
      <c r="AH29" s="79">
        <v>-30</v>
      </c>
      <c r="AI29" s="79">
        <v>-30</v>
      </c>
      <c r="AJ29" s="79">
        <v>-30</v>
      </c>
      <c r="AK29" s="79">
        <v>-30</v>
      </c>
      <c r="AL29" s="79">
        <v>-30</v>
      </c>
      <c r="AM29" s="79">
        <v>-30</v>
      </c>
      <c r="AN29" s="79">
        <v>-30</v>
      </c>
    </row>
    <row r="30" spans="2:41" x14ac:dyDescent="0.3">
      <c r="B30" s="74" t="s">
        <v>157</v>
      </c>
      <c r="C30" s="75">
        <v>0</v>
      </c>
      <c r="D30" s="75">
        <v>0</v>
      </c>
      <c r="E30" s="75">
        <v>0</v>
      </c>
      <c r="F30" s="79">
        <v>-40</v>
      </c>
      <c r="G30" s="79">
        <v>-40</v>
      </c>
      <c r="H30" s="79">
        <v>-40</v>
      </c>
      <c r="I30" s="79">
        <v>-40</v>
      </c>
      <c r="J30" s="79">
        <v>-40</v>
      </c>
      <c r="K30" s="79">
        <v>-40</v>
      </c>
      <c r="L30" s="79">
        <v>-40</v>
      </c>
      <c r="M30" s="79">
        <v>-40</v>
      </c>
      <c r="N30" s="79">
        <v>-40</v>
      </c>
      <c r="O30" s="79">
        <v>-40</v>
      </c>
      <c r="P30" s="79">
        <v>-40</v>
      </c>
      <c r="Q30" s="79">
        <v>-40</v>
      </c>
      <c r="R30" s="79">
        <v>-40</v>
      </c>
      <c r="S30" s="79">
        <v>-40</v>
      </c>
      <c r="T30" s="79">
        <v>-40</v>
      </c>
      <c r="U30" s="79">
        <v>-40</v>
      </c>
      <c r="V30" s="79">
        <v>-40</v>
      </c>
      <c r="W30" s="79">
        <v>-40</v>
      </c>
      <c r="X30" s="79">
        <v>-40</v>
      </c>
      <c r="Y30" s="79">
        <v>-40</v>
      </c>
      <c r="Z30" s="79">
        <v>-40</v>
      </c>
      <c r="AA30" s="79">
        <v>-40</v>
      </c>
      <c r="AB30" s="79">
        <v>-40</v>
      </c>
      <c r="AC30" s="79">
        <v>-40</v>
      </c>
      <c r="AD30" s="79">
        <v>-40</v>
      </c>
      <c r="AE30" s="79">
        <v>-40</v>
      </c>
      <c r="AF30" s="79">
        <v>-40</v>
      </c>
      <c r="AG30" s="79">
        <v>-40</v>
      </c>
      <c r="AH30" s="79">
        <v>-40</v>
      </c>
      <c r="AI30" s="79">
        <v>-40</v>
      </c>
      <c r="AJ30" s="79">
        <v>-40</v>
      </c>
      <c r="AK30" s="79">
        <v>-40</v>
      </c>
      <c r="AL30" s="79">
        <v>-40</v>
      </c>
      <c r="AM30" s="79">
        <v>-40</v>
      </c>
      <c r="AN30" s="79">
        <v>-40</v>
      </c>
    </row>
    <row r="31" spans="2:41" x14ac:dyDescent="0.3">
      <c r="B31" s="74" t="s">
        <v>163</v>
      </c>
      <c r="C31" s="75">
        <v>0</v>
      </c>
      <c r="D31" s="75">
        <v>0</v>
      </c>
      <c r="E31" s="75">
        <v>0</v>
      </c>
      <c r="F31" s="79">
        <v>-25</v>
      </c>
      <c r="G31" s="79">
        <v>-25</v>
      </c>
      <c r="H31" s="79">
        <v>-25</v>
      </c>
      <c r="I31" s="79">
        <v>-25</v>
      </c>
      <c r="J31" s="79">
        <v>-25</v>
      </c>
      <c r="K31" s="79">
        <v>-25</v>
      </c>
      <c r="L31" s="79">
        <v>-25</v>
      </c>
      <c r="M31" s="79">
        <v>-25</v>
      </c>
      <c r="N31" s="79">
        <v>-25</v>
      </c>
      <c r="O31" s="79">
        <v>-25</v>
      </c>
      <c r="P31" s="79">
        <v>-25</v>
      </c>
      <c r="Q31" s="79">
        <v>-25</v>
      </c>
      <c r="R31" s="79">
        <v>-25</v>
      </c>
      <c r="S31" s="79">
        <v>-25</v>
      </c>
      <c r="T31" s="79">
        <v>-25</v>
      </c>
      <c r="U31" s="79">
        <v>-25</v>
      </c>
      <c r="V31" s="79">
        <v>-25</v>
      </c>
      <c r="W31" s="79">
        <v>-25</v>
      </c>
      <c r="X31" s="79">
        <v>-25</v>
      </c>
      <c r="Y31" s="79">
        <v>-25</v>
      </c>
      <c r="Z31" s="79">
        <v>-25</v>
      </c>
      <c r="AA31" s="79">
        <v>-25</v>
      </c>
      <c r="AB31" s="79">
        <v>-25</v>
      </c>
      <c r="AC31" s="79">
        <v>-25</v>
      </c>
      <c r="AD31" s="79">
        <v>-25</v>
      </c>
      <c r="AE31" s="79">
        <v>-25</v>
      </c>
      <c r="AF31" s="79">
        <v>-25</v>
      </c>
      <c r="AG31" s="79">
        <v>-25</v>
      </c>
      <c r="AH31" s="79">
        <v>-25</v>
      </c>
      <c r="AI31" s="79">
        <v>-25</v>
      </c>
      <c r="AJ31" s="79">
        <v>-25</v>
      </c>
      <c r="AK31" s="79">
        <v>-25</v>
      </c>
      <c r="AL31" s="79">
        <v>-25</v>
      </c>
      <c r="AM31" s="79">
        <v>-25</v>
      </c>
      <c r="AN31" s="79">
        <v>-25</v>
      </c>
    </row>
    <row r="32" spans="2:41" x14ac:dyDescent="0.3">
      <c r="B32" s="74" t="s">
        <v>159</v>
      </c>
      <c r="C32" s="75">
        <v>0</v>
      </c>
      <c r="D32" s="75">
        <v>0</v>
      </c>
      <c r="E32" s="75">
        <v>0</v>
      </c>
      <c r="F32" s="79">
        <v>-25</v>
      </c>
      <c r="G32" s="79">
        <v>-25</v>
      </c>
      <c r="H32" s="79">
        <v>-25</v>
      </c>
      <c r="I32" s="79">
        <v>-25</v>
      </c>
      <c r="J32" s="79">
        <v>-25</v>
      </c>
      <c r="K32" s="79">
        <v>-25</v>
      </c>
      <c r="L32" s="79">
        <v>-25</v>
      </c>
      <c r="M32" s="79">
        <v>-25</v>
      </c>
      <c r="N32" s="79">
        <v>-25</v>
      </c>
      <c r="O32" s="79">
        <v>-25</v>
      </c>
      <c r="P32" s="79">
        <v>-25</v>
      </c>
      <c r="Q32" s="79">
        <v>-25</v>
      </c>
      <c r="R32" s="79">
        <v>-25</v>
      </c>
      <c r="S32" s="79">
        <v>-25</v>
      </c>
      <c r="T32" s="79">
        <v>-25</v>
      </c>
      <c r="U32" s="79">
        <v>-25</v>
      </c>
      <c r="V32" s="79">
        <v>-25</v>
      </c>
      <c r="W32" s="79">
        <v>-25</v>
      </c>
      <c r="X32" s="79">
        <v>-25</v>
      </c>
      <c r="Y32" s="79">
        <v>-25</v>
      </c>
      <c r="Z32" s="79">
        <v>-25</v>
      </c>
      <c r="AA32" s="79">
        <v>-25</v>
      </c>
      <c r="AB32" s="79">
        <v>-25</v>
      </c>
      <c r="AC32" s="79">
        <v>-25</v>
      </c>
      <c r="AD32" s="79">
        <v>-25</v>
      </c>
      <c r="AE32" s="79">
        <v>-25</v>
      </c>
      <c r="AF32" s="79">
        <v>-25</v>
      </c>
      <c r="AG32" s="79">
        <v>-25</v>
      </c>
      <c r="AH32" s="79">
        <v>-25</v>
      </c>
      <c r="AI32" s="79">
        <v>-25</v>
      </c>
      <c r="AJ32" s="79">
        <v>-25</v>
      </c>
      <c r="AK32" s="79">
        <v>-25</v>
      </c>
      <c r="AL32" s="79">
        <v>-25</v>
      </c>
      <c r="AM32" s="79">
        <v>-25</v>
      </c>
      <c r="AN32" s="79">
        <v>-25</v>
      </c>
    </row>
    <row r="33" spans="1:41" x14ac:dyDescent="0.3">
      <c r="B33" s="74" t="s">
        <v>162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  <c r="AK33" s="75">
        <v>0</v>
      </c>
      <c r="AL33" s="75">
        <v>0</v>
      </c>
      <c r="AM33" s="75">
        <v>0</v>
      </c>
      <c r="AN33" s="75">
        <v>0</v>
      </c>
    </row>
    <row r="34" spans="1:41" x14ac:dyDescent="0.3">
      <c r="B34" s="74" t="s">
        <v>154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  <c r="Z34" s="75">
        <v>0</v>
      </c>
      <c r="AA34" s="75">
        <v>0</v>
      </c>
      <c r="AB34" s="75">
        <v>0</v>
      </c>
      <c r="AC34" s="75">
        <v>0</v>
      </c>
      <c r="AD34" s="75">
        <v>0</v>
      </c>
      <c r="AE34" s="75">
        <v>0</v>
      </c>
      <c r="AF34" s="75">
        <v>0</v>
      </c>
      <c r="AG34" s="75">
        <v>0</v>
      </c>
      <c r="AH34" s="75">
        <v>0</v>
      </c>
      <c r="AI34" s="75">
        <v>0</v>
      </c>
      <c r="AJ34" s="75">
        <v>0</v>
      </c>
      <c r="AK34" s="75">
        <v>0</v>
      </c>
      <c r="AL34" s="75">
        <v>0</v>
      </c>
      <c r="AM34" s="75">
        <v>0</v>
      </c>
      <c r="AN34" s="75">
        <v>0</v>
      </c>
    </row>
    <row r="36" spans="1:41" s="73" customFormat="1" ht="15" customHeight="1" x14ac:dyDescent="0.3">
      <c r="A36" s="69"/>
      <c r="B36" s="70" t="s">
        <v>201</v>
      </c>
      <c r="C36" s="83">
        <f>SUM(C37:C44)</f>
        <v>26300</v>
      </c>
      <c r="D36" s="83">
        <f t="shared" ref="D36:AB36" si="37">C36+D4</f>
        <v>25455</v>
      </c>
      <c r="E36" s="83">
        <f t="shared" si="37"/>
        <v>24330</v>
      </c>
      <c r="F36" s="83">
        <f t="shared" si="37"/>
        <v>21409.340413223141</v>
      </c>
      <c r="G36" s="83">
        <f t="shared" si="37"/>
        <v>20415.387355371902</v>
      </c>
      <c r="H36" s="83">
        <f t="shared" si="37"/>
        <v>20290.514049586778</v>
      </c>
      <c r="I36" s="83">
        <f t="shared" si="37"/>
        <v>21337.88785123967</v>
      </c>
      <c r="J36" s="83">
        <f t="shared" si="37"/>
        <v>22914.79396694215</v>
      </c>
      <c r="K36" s="83">
        <f t="shared" si="37"/>
        <v>22334.414876033057</v>
      </c>
      <c r="L36" s="83">
        <f t="shared" si="37"/>
        <v>21754.035785123968</v>
      </c>
      <c r="M36" s="83">
        <f t="shared" si="37"/>
        <v>22345.903801652894</v>
      </c>
      <c r="N36" s="83">
        <f t="shared" si="37"/>
        <v>23394.54396694215</v>
      </c>
      <c r="O36" s="83">
        <f t="shared" si="37"/>
        <v>24942.50076652893</v>
      </c>
      <c r="P36" s="83">
        <f t="shared" si="37"/>
        <v>27022.129736415292</v>
      </c>
      <c r="Q36" s="83">
        <f t="shared" si="37"/>
        <v>29848.538714901799</v>
      </c>
      <c r="R36" s="83">
        <f t="shared" si="37"/>
        <v>33308.149588048967</v>
      </c>
      <c r="S36" s="83">
        <f t="shared" si="37"/>
        <v>37442.261667460138</v>
      </c>
      <c r="T36" s="83">
        <f t="shared" si="37"/>
        <v>42294.962171584091</v>
      </c>
      <c r="U36" s="83">
        <f t="shared" si="37"/>
        <v>47913.319841652221</v>
      </c>
      <c r="V36" s="83">
        <f t="shared" si="37"/>
        <v>54347.592304957157</v>
      </c>
      <c r="W36" s="83">
        <f t="shared" si="37"/>
        <v>61651.448177830833</v>
      </c>
      <c r="X36" s="83">
        <f t="shared" si="37"/>
        <v>69882.204973172033</v>
      </c>
      <c r="Y36" s="83">
        <f t="shared" si="37"/>
        <v>79101.083955206006</v>
      </c>
      <c r="Z36" s="83">
        <f t="shared" si="37"/>
        <v>88989.547178346504</v>
      </c>
      <c r="AA36" s="83">
        <f t="shared" si="37"/>
        <v>98796.852004792789</v>
      </c>
      <c r="AB36" s="83">
        <f t="shared" si="37"/>
        <v>108604.15683123907</v>
      </c>
      <c r="AC36" s="83">
        <f t="shared" ref="AC36:AN36" si="38">AB36+AC4</f>
        <v>118873.96184520601</v>
      </c>
      <c r="AD36" s="83">
        <f t="shared" si="38"/>
        <v>129143.76685917295</v>
      </c>
      <c r="AE36" s="83">
        <f t="shared" si="38"/>
        <v>139413.57187313988</v>
      </c>
      <c r="AF36" s="83">
        <f t="shared" si="38"/>
        <v>149683.37688710683</v>
      </c>
      <c r="AG36" s="83">
        <f t="shared" si="38"/>
        <v>159953.18190107378</v>
      </c>
      <c r="AH36" s="83">
        <f t="shared" si="38"/>
        <v>170222.98691504073</v>
      </c>
      <c r="AI36" s="83">
        <f t="shared" si="38"/>
        <v>180492.79192900768</v>
      </c>
      <c r="AJ36" s="83">
        <f t="shared" si="38"/>
        <v>190762.59694297463</v>
      </c>
      <c r="AK36" s="83">
        <f t="shared" si="38"/>
        <v>201032.40195694158</v>
      </c>
      <c r="AL36" s="83">
        <f t="shared" si="38"/>
        <v>211302.20697090853</v>
      </c>
      <c r="AM36" s="83">
        <f t="shared" si="38"/>
        <v>221572.01198487548</v>
      </c>
      <c r="AN36" s="83">
        <f t="shared" si="38"/>
        <v>231841.81699884243</v>
      </c>
      <c r="AO36" s="76"/>
    </row>
    <row r="37" spans="1:41" ht="15" customHeight="1" x14ac:dyDescent="0.3">
      <c r="B37" s="78" t="s">
        <v>164</v>
      </c>
      <c r="C37" s="75">
        <v>3000</v>
      </c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6"/>
    </row>
    <row r="38" spans="1:41" ht="15" customHeight="1" x14ac:dyDescent="0.3">
      <c r="B38" s="78" t="s">
        <v>181</v>
      </c>
      <c r="C38" s="75">
        <v>20000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6"/>
    </row>
    <row r="39" spans="1:41" ht="15" customHeight="1" x14ac:dyDescent="0.3">
      <c r="B39" s="78" t="s">
        <v>172</v>
      </c>
      <c r="C39" s="75">
        <v>40000</v>
      </c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6"/>
    </row>
    <row r="40" spans="1:41" x14ac:dyDescent="0.3">
      <c r="B40" s="74" t="s">
        <v>149</v>
      </c>
      <c r="C40" s="79">
        <f>C4</f>
        <v>-200</v>
      </c>
      <c r="D40" s="84"/>
      <c r="E40" s="84"/>
      <c r="F40" s="84"/>
      <c r="G40" s="84"/>
      <c r="H40" s="84"/>
      <c r="I40" s="84"/>
      <c r="J40" s="84"/>
      <c r="K40" s="84"/>
      <c r="L40" s="84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</row>
    <row r="41" spans="1:41" x14ac:dyDescent="0.3">
      <c r="B41" s="78" t="s">
        <v>165</v>
      </c>
      <c r="C41" s="79">
        <v>-24000</v>
      </c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</row>
    <row r="42" spans="1:41" x14ac:dyDescent="0.3">
      <c r="B42" s="78" t="s">
        <v>166</v>
      </c>
      <c r="C42" s="79">
        <v>-4500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</row>
    <row r="43" spans="1:41" x14ac:dyDescent="0.3">
      <c r="B43" s="78" t="s">
        <v>167</v>
      </c>
      <c r="C43" s="79">
        <v>-4000</v>
      </c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</row>
    <row r="44" spans="1:41" x14ac:dyDescent="0.3">
      <c r="B44" s="78" t="s">
        <v>168</v>
      </c>
      <c r="C44" s="79">
        <v>-4000</v>
      </c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</row>
    <row r="47" spans="1:41" x14ac:dyDescent="0.3">
      <c r="A47" s="80"/>
      <c r="B47" s="80" t="s">
        <v>169</v>
      </c>
      <c r="C47" s="80">
        <v>45962</v>
      </c>
      <c r="D47" s="80">
        <v>45992</v>
      </c>
      <c r="E47" s="80">
        <v>46023</v>
      </c>
      <c r="F47" s="80">
        <v>46054</v>
      </c>
      <c r="G47" s="80">
        <v>46082</v>
      </c>
      <c r="H47" s="80">
        <v>46113</v>
      </c>
      <c r="I47" s="80">
        <v>46143</v>
      </c>
      <c r="J47" s="80">
        <v>46174</v>
      </c>
      <c r="K47" s="80">
        <v>46204</v>
      </c>
      <c r="L47" s="80">
        <v>46235</v>
      </c>
      <c r="M47" s="80">
        <v>46266</v>
      </c>
      <c r="N47" s="80">
        <v>46296</v>
      </c>
      <c r="O47" s="80">
        <v>46327</v>
      </c>
      <c r="P47" s="80">
        <v>46357</v>
      </c>
      <c r="Q47" s="80">
        <v>46388</v>
      </c>
      <c r="R47" s="80">
        <v>46419</v>
      </c>
      <c r="S47" s="80">
        <v>46447</v>
      </c>
      <c r="T47" s="80">
        <v>46478</v>
      </c>
      <c r="U47" s="80">
        <v>46508</v>
      </c>
      <c r="V47" s="80">
        <v>46539</v>
      </c>
      <c r="W47" s="80">
        <v>46569</v>
      </c>
      <c r="X47" s="80">
        <v>46600</v>
      </c>
      <c r="Y47" s="80">
        <v>46631</v>
      </c>
      <c r="Z47" s="80">
        <v>46661</v>
      </c>
      <c r="AA47" s="80">
        <v>46692</v>
      </c>
      <c r="AB47" s="80">
        <v>46722</v>
      </c>
      <c r="AC47" s="80">
        <v>46753</v>
      </c>
      <c r="AD47" s="80">
        <v>46784</v>
      </c>
      <c r="AE47" s="80">
        <v>46813</v>
      </c>
      <c r="AF47" s="80">
        <v>46844</v>
      </c>
      <c r="AG47" s="80">
        <v>46874</v>
      </c>
      <c r="AH47" s="80">
        <v>46905</v>
      </c>
      <c r="AI47" s="80">
        <v>46935</v>
      </c>
      <c r="AJ47" s="80">
        <v>46966</v>
      </c>
      <c r="AK47" s="80">
        <v>46997</v>
      </c>
      <c r="AL47" s="80">
        <v>47027</v>
      </c>
      <c r="AM47" s="80">
        <v>47058</v>
      </c>
      <c r="AN47" s="80">
        <v>47088</v>
      </c>
    </row>
    <row r="48" spans="1:41" x14ac:dyDescent="0.3">
      <c r="B48" s="74" t="s">
        <v>147</v>
      </c>
      <c r="C48" s="81">
        <v>0</v>
      </c>
      <c r="D48" s="81">
        <v>0</v>
      </c>
      <c r="E48" s="81">
        <v>0</v>
      </c>
      <c r="F48" s="81">
        <v>5</v>
      </c>
      <c r="G48" s="82">
        <v>20</v>
      </c>
      <c r="H48" s="82">
        <v>30</v>
      </c>
      <c r="I48" s="82">
        <v>40</v>
      </c>
      <c r="J48" s="82">
        <v>45</v>
      </c>
      <c r="K48" s="82">
        <v>50</v>
      </c>
      <c r="L48" s="82">
        <v>50</v>
      </c>
      <c r="M48" s="82">
        <v>60</v>
      </c>
      <c r="N48" s="82">
        <v>65</v>
      </c>
      <c r="O48" s="82">
        <f>N48*1.075</f>
        <v>69.875</v>
      </c>
      <c r="P48" s="82">
        <f t="shared" ref="P48:Y48" si="39">O48*1.075</f>
        <v>75.115624999999994</v>
      </c>
      <c r="Q48" s="82">
        <f t="shared" si="39"/>
        <v>80.749296874999985</v>
      </c>
      <c r="R48" s="82">
        <f t="shared" si="39"/>
        <v>86.805494140624987</v>
      </c>
      <c r="S48" s="82">
        <f t="shared" si="39"/>
        <v>93.315906201171856</v>
      </c>
      <c r="T48" s="82">
        <f t="shared" si="39"/>
        <v>100.31459916625974</v>
      </c>
      <c r="U48" s="82">
        <f t="shared" si="39"/>
        <v>107.83819410372922</v>
      </c>
      <c r="V48" s="82">
        <f t="shared" si="39"/>
        <v>115.9260586615089</v>
      </c>
      <c r="W48" s="82">
        <f t="shared" si="39"/>
        <v>124.62051306112207</v>
      </c>
      <c r="X48" s="82">
        <f t="shared" si="39"/>
        <v>133.96705154070622</v>
      </c>
      <c r="Y48" s="82">
        <f t="shared" si="39"/>
        <v>144.01458040625917</v>
      </c>
      <c r="Z48" s="82">
        <v>150</v>
      </c>
      <c r="AA48" s="82">
        <v>150</v>
      </c>
      <c r="AB48" s="82">
        <v>150</v>
      </c>
      <c r="AC48" s="82">
        <v>150</v>
      </c>
      <c r="AD48" s="82">
        <v>150</v>
      </c>
      <c r="AE48" s="82">
        <v>150</v>
      </c>
      <c r="AF48" s="82">
        <v>150</v>
      </c>
      <c r="AG48" s="82">
        <v>150</v>
      </c>
      <c r="AH48" s="82">
        <v>150</v>
      </c>
      <c r="AI48" s="82">
        <v>150</v>
      </c>
      <c r="AJ48" s="82">
        <v>150</v>
      </c>
      <c r="AK48" s="82">
        <v>150</v>
      </c>
      <c r="AL48" s="82">
        <v>150</v>
      </c>
      <c r="AM48" s="82">
        <v>150</v>
      </c>
      <c r="AN48" s="82">
        <v>150</v>
      </c>
    </row>
    <row r="49" spans="1:40" x14ac:dyDescent="0.3">
      <c r="B49" s="74" t="s">
        <v>148</v>
      </c>
      <c r="C49" s="81">
        <v>0</v>
      </c>
      <c r="D49" s="81">
        <v>0</v>
      </c>
      <c r="E49" s="81">
        <v>0</v>
      </c>
      <c r="F49" s="81">
        <v>5</v>
      </c>
      <c r="G49" s="82">
        <v>15</v>
      </c>
      <c r="H49" s="82">
        <v>20</v>
      </c>
      <c r="I49" s="82">
        <v>25</v>
      </c>
      <c r="J49" s="82">
        <v>27</v>
      </c>
      <c r="K49" s="82">
        <v>30</v>
      </c>
      <c r="L49" s="82">
        <v>30</v>
      </c>
      <c r="M49" s="82">
        <v>35</v>
      </c>
      <c r="N49" s="82">
        <v>36</v>
      </c>
      <c r="O49" s="82">
        <f>N49*1.05</f>
        <v>37.800000000000004</v>
      </c>
      <c r="P49" s="82">
        <f t="shared" ref="P49:Y49" si="40">O49*1.05</f>
        <v>39.690000000000005</v>
      </c>
      <c r="Q49" s="82">
        <f t="shared" si="40"/>
        <v>41.674500000000009</v>
      </c>
      <c r="R49" s="82">
        <f t="shared" si="40"/>
        <v>43.75822500000001</v>
      </c>
      <c r="S49" s="82">
        <f t="shared" si="40"/>
        <v>45.946136250000009</v>
      </c>
      <c r="T49" s="82">
        <f t="shared" si="40"/>
        <v>48.243443062500013</v>
      </c>
      <c r="U49" s="82">
        <f t="shared" si="40"/>
        <v>50.655615215625019</v>
      </c>
      <c r="V49" s="82">
        <f t="shared" si="40"/>
        <v>53.188395976406269</v>
      </c>
      <c r="W49" s="82">
        <f t="shared" si="40"/>
        <v>55.847815775226586</v>
      </c>
      <c r="X49" s="82">
        <f t="shared" si="40"/>
        <v>58.640206563987917</v>
      </c>
      <c r="Y49" s="82">
        <f t="shared" si="40"/>
        <v>61.572216892187313</v>
      </c>
      <c r="Z49" s="82">
        <v>64</v>
      </c>
      <c r="AA49" s="82">
        <v>65</v>
      </c>
      <c r="AB49" s="82">
        <v>65</v>
      </c>
      <c r="AC49" s="82">
        <v>65</v>
      </c>
      <c r="AD49" s="82">
        <v>65</v>
      </c>
      <c r="AE49" s="82">
        <v>65</v>
      </c>
      <c r="AF49" s="82">
        <v>65</v>
      </c>
      <c r="AG49" s="82">
        <v>65</v>
      </c>
      <c r="AH49" s="82">
        <v>65</v>
      </c>
      <c r="AI49" s="82">
        <v>65</v>
      </c>
      <c r="AJ49" s="82">
        <v>65</v>
      </c>
      <c r="AK49" s="82">
        <v>65</v>
      </c>
      <c r="AL49" s="82">
        <v>65</v>
      </c>
      <c r="AM49" s="82">
        <v>65</v>
      </c>
      <c r="AN49" s="82">
        <v>65</v>
      </c>
    </row>
    <row r="50" spans="1:40" hidden="1" x14ac:dyDescent="0.3">
      <c r="B50" s="74" t="s">
        <v>180</v>
      </c>
      <c r="C50" s="81">
        <v>0</v>
      </c>
      <c r="D50" s="81">
        <v>0</v>
      </c>
      <c r="E50" s="81">
        <v>0</v>
      </c>
      <c r="F50" s="81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>
        <v>0</v>
      </c>
      <c r="O50" s="82">
        <v>0</v>
      </c>
      <c r="P50" s="82">
        <v>0</v>
      </c>
      <c r="Q50" s="82">
        <v>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2">
        <v>0</v>
      </c>
      <c r="Y50" s="82">
        <v>0</v>
      </c>
      <c r="Z50" s="82">
        <v>0</v>
      </c>
      <c r="AA50" s="82">
        <v>0</v>
      </c>
      <c r="AB50" s="82">
        <v>0</v>
      </c>
      <c r="AC50" s="82">
        <v>0</v>
      </c>
      <c r="AD50" s="82">
        <v>0</v>
      </c>
      <c r="AE50" s="82">
        <v>0</v>
      </c>
      <c r="AF50" s="82">
        <v>0</v>
      </c>
      <c r="AG50" s="82">
        <v>0</v>
      </c>
      <c r="AH50" s="82">
        <v>0</v>
      </c>
      <c r="AI50" s="82">
        <v>0</v>
      </c>
      <c r="AJ50" s="82">
        <v>0</v>
      </c>
      <c r="AK50" s="82">
        <v>0</v>
      </c>
      <c r="AL50" s="82">
        <v>0</v>
      </c>
      <c r="AM50" s="82">
        <v>0</v>
      </c>
      <c r="AN50" s="82">
        <v>0</v>
      </c>
    </row>
    <row r="51" spans="1:40" x14ac:dyDescent="0.3">
      <c r="B51" s="74" t="s">
        <v>177</v>
      </c>
      <c r="C51" s="81">
        <v>0</v>
      </c>
      <c r="D51" s="81">
        <v>0</v>
      </c>
      <c r="E51" s="81">
        <v>0</v>
      </c>
      <c r="F51" s="81">
        <v>5</v>
      </c>
      <c r="G51" s="82">
        <v>5</v>
      </c>
      <c r="H51" s="82">
        <v>5</v>
      </c>
      <c r="I51" s="82">
        <v>5</v>
      </c>
      <c r="J51" s="82">
        <v>5</v>
      </c>
      <c r="K51" s="82">
        <v>5</v>
      </c>
      <c r="L51" s="82">
        <v>5</v>
      </c>
      <c r="M51" s="82">
        <v>5</v>
      </c>
      <c r="N51" s="82">
        <v>5</v>
      </c>
      <c r="O51" s="82">
        <v>5</v>
      </c>
      <c r="P51" s="82">
        <v>5</v>
      </c>
      <c r="Q51" s="82">
        <v>5</v>
      </c>
      <c r="R51" s="82">
        <v>5</v>
      </c>
      <c r="S51" s="82">
        <v>5</v>
      </c>
      <c r="T51" s="82">
        <v>5</v>
      </c>
      <c r="U51" s="82">
        <v>5</v>
      </c>
      <c r="V51" s="82">
        <v>5</v>
      </c>
      <c r="W51" s="82">
        <v>5</v>
      </c>
      <c r="X51" s="82">
        <v>5</v>
      </c>
      <c r="Y51" s="82">
        <v>5</v>
      </c>
      <c r="Z51" s="82">
        <v>5</v>
      </c>
      <c r="AA51" s="82">
        <v>5</v>
      </c>
      <c r="AB51" s="82">
        <v>5</v>
      </c>
      <c r="AC51" s="82">
        <v>5</v>
      </c>
      <c r="AD51" s="82">
        <v>5</v>
      </c>
      <c r="AE51" s="82">
        <v>5</v>
      </c>
      <c r="AF51" s="82">
        <v>5</v>
      </c>
      <c r="AG51" s="82">
        <v>5</v>
      </c>
      <c r="AH51" s="82">
        <v>5</v>
      </c>
      <c r="AI51" s="82">
        <v>5</v>
      </c>
      <c r="AJ51" s="82">
        <v>5</v>
      </c>
      <c r="AK51" s="82">
        <v>5</v>
      </c>
      <c r="AL51" s="82">
        <v>5</v>
      </c>
      <c r="AM51" s="82">
        <v>5</v>
      </c>
      <c r="AN51" s="82">
        <v>5</v>
      </c>
    </row>
    <row r="52" spans="1:40" x14ac:dyDescent="0.3">
      <c r="B52" s="74" t="s">
        <v>178</v>
      </c>
      <c r="C52" s="81">
        <v>0</v>
      </c>
      <c r="D52" s="81">
        <v>0</v>
      </c>
      <c r="E52" s="81">
        <v>0</v>
      </c>
      <c r="F52" s="81">
        <v>2</v>
      </c>
      <c r="G52" s="82">
        <v>2</v>
      </c>
      <c r="H52" s="82">
        <v>2</v>
      </c>
      <c r="I52" s="82">
        <v>2</v>
      </c>
      <c r="J52" s="82">
        <v>2</v>
      </c>
      <c r="K52" s="82">
        <v>2</v>
      </c>
      <c r="L52" s="82">
        <v>2</v>
      </c>
      <c r="M52" s="82">
        <v>2</v>
      </c>
      <c r="N52" s="82">
        <v>2</v>
      </c>
      <c r="O52" s="82">
        <v>2</v>
      </c>
      <c r="P52" s="82">
        <v>2</v>
      </c>
      <c r="Q52" s="82">
        <v>2</v>
      </c>
      <c r="R52" s="82">
        <v>2</v>
      </c>
      <c r="S52" s="82">
        <v>2</v>
      </c>
      <c r="T52" s="82">
        <v>2</v>
      </c>
      <c r="U52" s="82">
        <v>2</v>
      </c>
      <c r="V52" s="82">
        <v>2</v>
      </c>
      <c r="W52" s="82">
        <v>2</v>
      </c>
      <c r="X52" s="82">
        <v>2</v>
      </c>
      <c r="Y52" s="82">
        <v>2</v>
      </c>
      <c r="Z52" s="82">
        <v>2</v>
      </c>
      <c r="AA52" s="82">
        <v>2</v>
      </c>
      <c r="AB52" s="82">
        <v>2</v>
      </c>
      <c r="AC52" s="82">
        <v>2</v>
      </c>
      <c r="AD52" s="82">
        <v>2</v>
      </c>
      <c r="AE52" s="82">
        <v>2</v>
      </c>
      <c r="AF52" s="82">
        <v>2</v>
      </c>
      <c r="AG52" s="82">
        <v>2</v>
      </c>
      <c r="AH52" s="82">
        <v>2</v>
      </c>
      <c r="AI52" s="82">
        <v>2</v>
      </c>
      <c r="AJ52" s="82">
        <v>2</v>
      </c>
      <c r="AK52" s="82">
        <v>2</v>
      </c>
      <c r="AL52" s="82">
        <v>2</v>
      </c>
      <c r="AM52" s="82">
        <v>2</v>
      </c>
      <c r="AN52" s="82">
        <v>2</v>
      </c>
    </row>
    <row r="53" spans="1:40" x14ac:dyDescent="0.3">
      <c r="B53" s="74" t="s">
        <v>161</v>
      </c>
      <c r="C53" s="81">
        <v>0</v>
      </c>
      <c r="D53" s="81">
        <v>0</v>
      </c>
      <c r="E53" s="81">
        <v>0</v>
      </c>
      <c r="F53" s="81">
        <v>3</v>
      </c>
      <c r="G53" s="82">
        <v>5</v>
      </c>
      <c r="H53" s="82">
        <v>5</v>
      </c>
      <c r="I53" s="82">
        <v>5</v>
      </c>
      <c r="J53" s="82">
        <v>5</v>
      </c>
      <c r="K53" s="82">
        <v>5</v>
      </c>
      <c r="L53" s="82">
        <v>5</v>
      </c>
      <c r="M53" s="82">
        <v>5</v>
      </c>
      <c r="N53" s="82">
        <v>10</v>
      </c>
      <c r="O53" s="82">
        <v>10</v>
      </c>
      <c r="P53" s="82">
        <v>10</v>
      </c>
      <c r="Q53" s="82">
        <v>10</v>
      </c>
      <c r="R53" s="82">
        <v>10</v>
      </c>
      <c r="S53" s="82">
        <v>10</v>
      </c>
      <c r="T53" s="82">
        <v>10</v>
      </c>
      <c r="U53" s="82">
        <v>10</v>
      </c>
      <c r="V53" s="82">
        <v>10</v>
      </c>
      <c r="W53" s="82">
        <v>10</v>
      </c>
      <c r="X53" s="82">
        <v>10</v>
      </c>
      <c r="Y53" s="82">
        <v>10</v>
      </c>
      <c r="Z53" s="82">
        <v>10</v>
      </c>
      <c r="AA53" s="82">
        <v>10</v>
      </c>
      <c r="AB53" s="82">
        <v>10</v>
      </c>
      <c r="AC53" s="82">
        <v>15</v>
      </c>
      <c r="AD53" s="82">
        <v>15</v>
      </c>
      <c r="AE53" s="82">
        <v>15</v>
      </c>
      <c r="AF53" s="82">
        <v>15</v>
      </c>
      <c r="AG53" s="82">
        <v>15</v>
      </c>
      <c r="AH53" s="82">
        <v>15</v>
      </c>
      <c r="AI53" s="82">
        <v>15</v>
      </c>
      <c r="AJ53" s="82">
        <v>15</v>
      </c>
      <c r="AK53" s="82">
        <v>15</v>
      </c>
      <c r="AL53" s="82">
        <v>15</v>
      </c>
      <c r="AM53" s="82">
        <v>15</v>
      </c>
      <c r="AN53" s="82">
        <v>15</v>
      </c>
    </row>
    <row r="54" spans="1:40" x14ac:dyDescent="0.3">
      <c r="B54" s="74" t="s">
        <v>176</v>
      </c>
      <c r="C54" s="81">
        <v>0</v>
      </c>
      <c r="D54" s="81">
        <v>0</v>
      </c>
      <c r="E54" s="81">
        <v>0</v>
      </c>
      <c r="F54" s="81">
        <v>30</v>
      </c>
      <c r="G54" s="81">
        <v>20</v>
      </c>
      <c r="H54" s="81">
        <v>5</v>
      </c>
      <c r="I54" s="81">
        <v>5</v>
      </c>
      <c r="J54" s="81">
        <v>5</v>
      </c>
      <c r="K54" s="81">
        <v>5</v>
      </c>
      <c r="L54" s="81">
        <v>5</v>
      </c>
      <c r="M54" s="81">
        <v>5</v>
      </c>
      <c r="N54" s="81">
        <v>5</v>
      </c>
      <c r="O54" s="81">
        <v>5</v>
      </c>
      <c r="P54" s="81">
        <v>5</v>
      </c>
      <c r="Q54" s="81">
        <v>5</v>
      </c>
      <c r="R54" s="81">
        <v>5</v>
      </c>
      <c r="S54" s="81">
        <v>5</v>
      </c>
      <c r="T54" s="81">
        <v>5</v>
      </c>
      <c r="U54" s="81">
        <v>5</v>
      </c>
      <c r="V54" s="81">
        <v>5</v>
      </c>
      <c r="W54" s="81">
        <v>5</v>
      </c>
      <c r="X54" s="81">
        <v>5</v>
      </c>
      <c r="Y54" s="81">
        <v>5</v>
      </c>
      <c r="Z54" s="81">
        <v>5</v>
      </c>
      <c r="AA54" s="81">
        <v>5</v>
      </c>
      <c r="AB54" s="81">
        <v>5</v>
      </c>
      <c r="AC54" s="81">
        <v>5</v>
      </c>
      <c r="AD54" s="81">
        <v>5</v>
      </c>
      <c r="AE54" s="81">
        <v>5</v>
      </c>
      <c r="AF54" s="81">
        <v>5</v>
      </c>
      <c r="AG54" s="81">
        <v>5</v>
      </c>
      <c r="AH54" s="81">
        <v>5</v>
      </c>
      <c r="AI54" s="81">
        <v>5</v>
      </c>
      <c r="AJ54" s="81">
        <v>5</v>
      </c>
      <c r="AK54" s="81">
        <v>5</v>
      </c>
      <c r="AL54" s="81">
        <v>5</v>
      </c>
      <c r="AM54" s="81">
        <v>5</v>
      </c>
      <c r="AN54" s="81">
        <v>5</v>
      </c>
    </row>
    <row r="57" spans="1:40" x14ac:dyDescent="0.3">
      <c r="A57" s="80"/>
      <c r="B57" s="80" t="s">
        <v>202</v>
      </c>
      <c r="C57" s="98">
        <f>(C48*4)+(C49*8)+(C51*4)+(C52*8)+C53+(C54*2)</f>
        <v>0</v>
      </c>
      <c r="D57" s="98">
        <f>(D48*4)+(D49*8)+(D51*4)+(D52*8)+D53+(D54*2)</f>
        <v>0</v>
      </c>
      <c r="E57" s="98">
        <f>(E48*4)+(E49*8)+(E51*4)+(E52*8)+E53+(E54*2)</f>
        <v>0</v>
      </c>
      <c r="F57" s="98">
        <f>(F48*4)+(F49*8)+(F51*4)+(F52*8)+F53+(F54*2)</f>
        <v>159</v>
      </c>
      <c r="G57" s="98">
        <f t="shared" ref="G57:AN57" si="41">(G48*4)+(G49*8)+(G51*4)+(G52*8)+G53+(G54*2)</f>
        <v>281</v>
      </c>
      <c r="H57" s="98">
        <f t="shared" si="41"/>
        <v>331</v>
      </c>
      <c r="I57" s="98">
        <f t="shared" si="41"/>
        <v>411</v>
      </c>
      <c r="J57" s="98">
        <f t="shared" si="41"/>
        <v>447</v>
      </c>
      <c r="K57" s="98">
        <f t="shared" si="41"/>
        <v>491</v>
      </c>
      <c r="L57" s="98">
        <f t="shared" si="41"/>
        <v>491</v>
      </c>
      <c r="M57" s="98">
        <f t="shared" si="41"/>
        <v>571</v>
      </c>
      <c r="N57" s="98">
        <f t="shared" si="41"/>
        <v>604</v>
      </c>
      <c r="O57" s="98">
        <f t="shared" si="41"/>
        <v>637.90000000000009</v>
      </c>
      <c r="P57" s="98">
        <f t="shared" si="41"/>
        <v>673.98250000000007</v>
      </c>
      <c r="Q57" s="98">
        <f t="shared" si="41"/>
        <v>712.39318750000007</v>
      </c>
      <c r="R57" s="98">
        <f t="shared" si="41"/>
        <v>753.28777656250008</v>
      </c>
      <c r="S57" s="98">
        <f t="shared" si="41"/>
        <v>796.8327148046875</v>
      </c>
      <c r="T57" s="98">
        <f t="shared" si="41"/>
        <v>843.20594116503912</v>
      </c>
      <c r="U57" s="98">
        <f t="shared" si="41"/>
        <v>892.59769813991704</v>
      </c>
      <c r="V57" s="98">
        <f t="shared" si="41"/>
        <v>945.21140245728577</v>
      </c>
      <c r="W57" s="98">
        <f t="shared" si="41"/>
        <v>1001.2645784463009</v>
      </c>
      <c r="X57" s="98">
        <f t="shared" si="41"/>
        <v>1060.9898586747281</v>
      </c>
      <c r="Y57" s="98">
        <f t="shared" si="41"/>
        <v>1124.6360567625352</v>
      </c>
      <c r="Z57" s="98">
        <f t="shared" si="41"/>
        <v>1168</v>
      </c>
      <c r="AA57" s="98">
        <f t="shared" si="41"/>
        <v>1176</v>
      </c>
      <c r="AB57" s="98">
        <f t="shared" si="41"/>
        <v>1176</v>
      </c>
      <c r="AC57" s="98">
        <f t="shared" si="41"/>
        <v>1181</v>
      </c>
      <c r="AD57" s="98">
        <f t="shared" si="41"/>
        <v>1181</v>
      </c>
      <c r="AE57" s="98">
        <f t="shared" si="41"/>
        <v>1181</v>
      </c>
      <c r="AF57" s="98">
        <f t="shared" si="41"/>
        <v>1181</v>
      </c>
      <c r="AG57" s="98">
        <f t="shared" si="41"/>
        <v>1181</v>
      </c>
      <c r="AH57" s="98">
        <f t="shared" si="41"/>
        <v>1181</v>
      </c>
      <c r="AI57" s="98">
        <f t="shared" si="41"/>
        <v>1181</v>
      </c>
      <c r="AJ57" s="98">
        <f t="shared" si="41"/>
        <v>1181</v>
      </c>
      <c r="AK57" s="98">
        <f t="shared" si="41"/>
        <v>1181</v>
      </c>
      <c r="AL57" s="98">
        <f t="shared" si="41"/>
        <v>1181</v>
      </c>
      <c r="AM57" s="98">
        <f t="shared" si="41"/>
        <v>1181</v>
      </c>
      <c r="AN57" s="98">
        <f t="shared" si="41"/>
        <v>1181</v>
      </c>
    </row>
    <row r="58" spans="1:40" x14ac:dyDescent="0.3">
      <c r="B58" s="32" t="s">
        <v>199</v>
      </c>
      <c r="C58" s="97">
        <v>1</v>
      </c>
      <c r="D58" s="97">
        <v>1</v>
      </c>
      <c r="E58" s="97">
        <v>1</v>
      </c>
      <c r="F58" s="97">
        <f>F57/720</f>
        <v>0.22083333333333333</v>
      </c>
      <c r="G58" s="97">
        <f t="shared" ref="G58:AN58" si="42">G57/720</f>
        <v>0.39027777777777778</v>
      </c>
      <c r="H58" s="97">
        <f t="shared" si="42"/>
        <v>0.4597222222222222</v>
      </c>
      <c r="I58" s="97">
        <f t="shared" si="42"/>
        <v>0.5708333333333333</v>
      </c>
      <c r="J58" s="97">
        <f t="shared" si="42"/>
        <v>0.62083333333333335</v>
      </c>
      <c r="K58" s="97">
        <f t="shared" si="42"/>
        <v>0.68194444444444446</v>
      </c>
      <c r="L58" s="97">
        <f t="shared" si="42"/>
        <v>0.68194444444444446</v>
      </c>
      <c r="M58" s="97">
        <f t="shared" si="42"/>
        <v>0.79305555555555551</v>
      </c>
      <c r="N58" s="97">
        <f t="shared" si="42"/>
        <v>0.83888888888888891</v>
      </c>
      <c r="O58" s="97">
        <f t="shared" si="42"/>
        <v>0.88597222222222238</v>
      </c>
      <c r="P58" s="97">
        <f t="shared" si="42"/>
        <v>0.93608680555555568</v>
      </c>
      <c r="Q58" s="97">
        <f t="shared" si="42"/>
        <v>0.98943498263888896</v>
      </c>
      <c r="R58" s="97">
        <f t="shared" si="42"/>
        <v>1.0462330230034724</v>
      </c>
      <c r="S58" s="97">
        <f t="shared" si="42"/>
        <v>1.1067121038953993</v>
      </c>
      <c r="T58" s="97">
        <f t="shared" si="42"/>
        <v>1.1711193627292209</v>
      </c>
      <c r="U58" s="97">
        <f t="shared" si="42"/>
        <v>1.2397190251943293</v>
      </c>
      <c r="V58" s="97">
        <f t="shared" si="42"/>
        <v>1.312793614524008</v>
      </c>
      <c r="W58" s="97">
        <f t="shared" si="42"/>
        <v>1.3906452478420845</v>
      </c>
      <c r="X58" s="97">
        <f t="shared" si="42"/>
        <v>1.4735970259371223</v>
      </c>
      <c r="Y58" s="97">
        <f t="shared" si="42"/>
        <v>1.5619945232812988</v>
      </c>
      <c r="Z58" s="97">
        <f t="shared" si="42"/>
        <v>1.6222222222222222</v>
      </c>
      <c r="AA58" s="97">
        <f t="shared" si="42"/>
        <v>1.6333333333333333</v>
      </c>
      <c r="AB58" s="97">
        <f t="shared" si="42"/>
        <v>1.6333333333333333</v>
      </c>
      <c r="AC58" s="97">
        <f t="shared" si="42"/>
        <v>1.6402777777777777</v>
      </c>
      <c r="AD58" s="97">
        <f t="shared" si="42"/>
        <v>1.6402777777777777</v>
      </c>
      <c r="AE58" s="97">
        <f t="shared" si="42"/>
        <v>1.6402777777777777</v>
      </c>
      <c r="AF58" s="97">
        <f t="shared" si="42"/>
        <v>1.6402777777777777</v>
      </c>
      <c r="AG58" s="97">
        <f t="shared" si="42"/>
        <v>1.6402777777777777</v>
      </c>
      <c r="AH58" s="97">
        <f t="shared" si="42"/>
        <v>1.6402777777777777</v>
      </c>
      <c r="AI58" s="97">
        <f t="shared" si="42"/>
        <v>1.6402777777777777</v>
      </c>
      <c r="AJ58" s="97">
        <f t="shared" si="42"/>
        <v>1.6402777777777777</v>
      </c>
      <c r="AK58" s="97">
        <f t="shared" si="42"/>
        <v>1.6402777777777777</v>
      </c>
      <c r="AL58" s="97">
        <f t="shared" si="42"/>
        <v>1.6402777777777777</v>
      </c>
      <c r="AM58" s="97">
        <f t="shared" si="42"/>
        <v>1.6402777777777777</v>
      </c>
      <c r="AN58" s="97">
        <f t="shared" si="42"/>
        <v>1.6402777777777777</v>
      </c>
    </row>
    <row r="59" spans="1:40" x14ac:dyDescent="0.3">
      <c r="B59" s="32" t="s">
        <v>200</v>
      </c>
      <c r="C59" s="97">
        <v>1</v>
      </c>
      <c r="D59" s="97">
        <v>1</v>
      </c>
      <c r="E59" s="97">
        <v>1</v>
      </c>
      <c r="F59" s="97">
        <f>F57/1440</f>
        <v>0.11041666666666666</v>
      </c>
      <c r="G59" s="97">
        <f t="shared" ref="G59:AN59" si="43">G57/1440</f>
        <v>0.19513888888888889</v>
      </c>
      <c r="H59" s="97">
        <f t="shared" si="43"/>
        <v>0.2298611111111111</v>
      </c>
      <c r="I59" s="97">
        <f t="shared" si="43"/>
        <v>0.28541666666666665</v>
      </c>
      <c r="J59" s="97">
        <f t="shared" si="43"/>
        <v>0.31041666666666667</v>
      </c>
      <c r="K59" s="97">
        <f t="shared" si="43"/>
        <v>0.34097222222222223</v>
      </c>
      <c r="L59" s="97">
        <f t="shared" si="43"/>
        <v>0.34097222222222223</v>
      </c>
      <c r="M59" s="97">
        <f t="shared" si="43"/>
        <v>0.39652777777777776</v>
      </c>
      <c r="N59" s="97">
        <f t="shared" si="43"/>
        <v>0.41944444444444445</v>
      </c>
      <c r="O59" s="97">
        <f t="shared" si="43"/>
        <v>0.44298611111111119</v>
      </c>
      <c r="P59" s="97">
        <f t="shared" si="43"/>
        <v>0.46804340277777784</v>
      </c>
      <c r="Q59" s="97">
        <f t="shared" si="43"/>
        <v>0.49471749131944448</v>
      </c>
      <c r="R59" s="97">
        <f t="shared" si="43"/>
        <v>0.52311651150173621</v>
      </c>
      <c r="S59" s="97">
        <f t="shared" si="43"/>
        <v>0.55335605194769966</v>
      </c>
      <c r="T59" s="97">
        <f t="shared" si="43"/>
        <v>0.58555968136461045</v>
      </c>
      <c r="U59" s="97">
        <f t="shared" si="43"/>
        <v>0.61985951259716465</v>
      </c>
      <c r="V59" s="97">
        <f t="shared" si="43"/>
        <v>0.656396807262004</v>
      </c>
      <c r="W59" s="97">
        <f t="shared" si="43"/>
        <v>0.69532262392104227</v>
      </c>
      <c r="X59" s="97">
        <f t="shared" si="43"/>
        <v>0.73679851296856114</v>
      </c>
      <c r="Y59" s="97">
        <f t="shared" si="43"/>
        <v>0.78099726164064942</v>
      </c>
      <c r="Z59" s="97">
        <f t="shared" si="43"/>
        <v>0.81111111111111112</v>
      </c>
      <c r="AA59" s="97">
        <f t="shared" si="43"/>
        <v>0.81666666666666665</v>
      </c>
      <c r="AB59" s="97">
        <f t="shared" si="43"/>
        <v>0.81666666666666665</v>
      </c>
      <c r="AC59" s="97">
        <f t="shared" si="43"/>
        <v>0.82013888888888886</v>
      </c>
      <c r="AD59" s="97">
        <f t="shared" si="43"/>
        <v>0.82013888888888886</v>
      </c>
      <c r="AE59" s="97">
        <f t="shared" si="43"/>
        <v>0.82013888888888886</v>
      </c>
      <c r="AF59" s="97">
        <f t="shared" si="43"/>
        <v>0.82013888888888886</v>
      </c>
      <c r="AG59" s="97">
        <f t="shared" si="43"/>
        <v>0.82013888888888886</v>
      </c>
      <c r="AH59" s="97">
        <f t="shared" si="43"/>
        <v>0.82013888888888886</v>
      </c>
      <c r="AI59" s="97">
        <f t="shared" si="43"/>
        <v>0.82013888888888886</v>
      </c>
      <c r="AJ59" s="97">
        <f t="shared" si="43"/>
        <v>0.82013888888888886</v>
      </c>
      <c r="AK59" s="97">
        <f t="shared" si="43"/>
        <v>0.82013888888888886</v>
      </c>
      <c r="AL59" s="97">
        <f t="shared" si="43"/>
        <v>0.82013888888888886</v>
      </c>
      <c r="AM59" s="97">
        <f t="shared" si="43"/>
        <v>0.82013888888888886</v>
      </c>
      <c r="AN59" s="97">
        <f t="shared" si="43"/>
        <v>0.82013888888888886</v>
      </c>
    </row>
    <row r="62" spans="1:40" x14ac:dyDescent="0.3">
      <c r="A62" s="80"/>
      <c r="B62" s="80" t="s">
        <v>170</v>
      </c>
      <c r="C62" s="99" t="s">
        <v>214</v>
      </c>
      <c r="D62" s="99" t="s">
        <v>203</v>
      </c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9" t="s">
        <v>215</v>
      </c>
      <c r="R62" s="99" t="s">
        <v>203</v>
      </c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9" t="s">
        <v>216</v>
      </c>
      <c r="AD62" s="99" t="s">
        <v>203</v>
      </c>
      <c r="AE62" s="98"/>
      <c r="AF62" s="98"/>
      <c r="AG62" s="98"/>
      <c r="AH62" s="98"/>
      <c r="AI62" s="98"/>
      <c r="AJ62" s="98"/>
      <c r="AK62" s="98"/>
      <c r="AL62" s="98"/>
      <c r="AM62" s="98"/>
      <c r="AN62" s="98"/>
    </row>
    <row r="63" spans="1:40" x14ac:dyDescent="0.3">
      <c r="B63" s="32" t="s">
        <v>204</v>
      </c>
      <c r="C63" s="33">
        <v>75</v>
      </c>
      <c r="D63" s="38">
        <f>C63/4</f>
        <v>18.75</v>
      </c>
      <c r="Q63" s="33">
        <f>C63*1.05</f>
        <v>78.75</v>
      </c>
      <c r="R63" s="38">
        <f>Q63/4</f>
        <v>19.6875</v>
      </c>
      <c r="AC63" s="33">
        <f>Q63*1.035</f>
        <v>81.506249999999994</v>
      </c>
      <c r="AD63" s="38">
        <f>AC63/4</f>
        <v>20.376562499999999</v>
      </c>
    </row>
    <row r="64" spans="1:40" x14ac:dyDescent="0.3">
      <c r="B64" s="32" t="s">
        <v>205</v>
      </c>
      <c r="C64" s="33">
        <v>140</v>
      </c>
      <c r="D64" s="38">
        <f>C64/8</f>
        <v>17.5</v>
      </c>
      <c r="Q64" s="33">
        <f t="shared" ref="Q64:Q70" si="44">C64*1.05</f>
        <v>147</v>
      </c>
      <c r="R64" s="38">
        <f>Q64/8</f>
        <v>18.375</v>
      </c>
      <c r="AC64" s="33">
        <f>Q64*1.035</f>
        <v>152.14499999999998</v>
      </c>
      <c r="AD64" s="38">
        <f>AC64/8</f>
        <v>19.018124999999998</v>
      </c>
    </row>
    <row r="65" spans="2:30" x14ac:dyDescent="0.3">
      <c r="B65" s="32" t="s">
        <v>206</v>
      </c>
      <c r="C65" s="33">
        <v>180</v>
      </c>
      <c r="D65" s="38">
        <f>C65/12</f>
        <v>15</v>
      </c>
      <c r="Q65" s="33">
        <f t="shared" si="44"/>
        <v>189</v>
      </c>
      <c r="R65" s="38">
        <f>Q65/12</f>
        <v>15.75</v>
      </c>
      <c r="AC65" s="33">
        <f>Q65*1.035</f>
        <v>195.61499999999998</v>
      </c>
      <c r="AD65" s="38">
        <f>AC65/12</f>
        <v>16.30125</v>
      </c>
    </row>
    <row r="66" spans="2:30" x14ac:dyDescent="0.3">
      <c r="B66" s="32" t="s">
        <v>207</v>
      </c>
      <c r="C66" s="33">
        <v>90</v>
      </c>
      <c r="D66" s="38">
        <f>C66/4</f>
        <v>22.5</v>
      </c>
      <c r="Q66" s="33">
        <f t="shared" si="44"/>
        <v>94.5</v>
      </c>
      <c r="R66" s="38">
        <f>Q66/4</f>
        <v>23.625</v>
      </c>
      <c r="AC66" s="33">
        <f>Q66*1.035</f>
        <v>97.80749999999999</v>
      </c>
      <c r="AD66" s="38">
        <f>AC66/4</f>
        <v>24.451874999999998</v>
      </c>
    </row>
    <row r="67" spans="2:30" x14ac:dyDescent="0.3">
      <c r="B67" s="32" t="s">
        <v>208</v>
      </c>
      <c r="C67" s="33">
        <v>170</v>
      </c>
      <c r="D67" s="38">
        <f>C67/8</f>
        <v>21.25</v>
      </c>
      <c r="Q67" s="33">
        <f t="shared" si="44"/>
        <v>178.5</v>
      </c>
      <c r="R67" s="38">
        <f>Q67/8</f>
        <v>22.3125</v>
      </c>
      <c r="AC67" s="33">
        <f>Q67*1.035</f>
        <v>184.74749999999997</v>
      </c>
      <c r="AD67" s="38">
        <f>AC67/8</f>
        <v>23.093437499999997</v>
      </c>
    </row>
    <row r="68" spans="2:30" x14ac:dyDescent="0.3">
      <c r="B68" s="32" t="s">
        <v>171</v>
      </c>
      <c r="C68" s="33">
        <v>10</v>
      </c>
      <c r="D68" s="33"/>
      <c r="Q68" s="33">
        <v>10</v>
      </c>
      <c r="R68" s="33"/>
      <c r="AC68" s="33">
        <v>10</v>
      </c>
      <c r="AD68" s="33"/>
    </row>
    <row r="69" spans="2:30" x14ac:dyDescent="0.3">
      <c r="B69" s="32" t="s">
        <v>209</v>
      </c>
      <c r="C69" s="79">
        <v>25</v>
      </c>
      <c r="D69" s="79"/>
      <c r="Q69" s="33">
        <v>25</v>
      </c>
      <c r="R69" s="79"/>
      <c r="AC69" s="33">
        <v>25</v>
      </c>
      <c r="AD69" s="79"/>
    </row>
    <row r="70" spans="2:30" x14ac:dyDescent="0.3">
      <c r="B70" s="74" t="s">
        <v>179</v>
      </c>
      <c r="C70" s="79">
        <v>16</v>
      </c>
      <c r="D70" s="86"/>
      <c r="Q70" s="33">
        <f t="shared" si="44"/>
        <v>16.8</v>
      </c>
      <c r="R70" s="86"/>
      <c r="AC70" s="33">
        <f>Q70*1.035</f>
        <v>17.387999999999998</v>
      </c>
      <c r="AD70" s="86"/>
    </row>
  </sheetData>
  <pageMargins left="0.7" right="0.7" top="0.75" bottom="0.75" header="0.3" footer="0.3"/>
  <pageSetup paperSize="9" orientation="portrait" r:id="rId1"/>
  <ignoredErrors>
    <ignoredError sqref="D64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8266-E2DB-4F76-93A2-18ECCB73F359}">
  <dimension ref="A1:AV95"/>
  <sheetViews>
    <sheetView zoomScale="96" zoomScaleNormal="70" workbookViewId="0">
      <pane xSplit="2" ySplit="4" topLeftCell="C25" activePane="bottomRight" state="frozen"/>
      <selection pane="topRight" activeCell="C1" sqref="C1"/>
      <selection pane="bottomLeft" activeCell="A5" sqref="A5"/>
      <selection pane="bottomRight" activeCell="B31" sqref="B31"/>
    </sheetView>
  </sheetViews>
  <sheetFormatPr baseColWidth="10" defaultColWidth="11.44140625" defaultRowHeight="14.4" x14ac:dyDescent="0.3"/>
  <cols>
    <col min="1" max="1" width="8.88671875" style="74" customWidth="1"/>
    <col min="2" max="2" width="48.44140625" style="74" customWidth="1"/>
    <col min="3" max="7" width="12.77734375" style="75" customWidth="1"/>
    <col min="8" max="41" width="12.77734375" style="74" customWidth="1"/>
    <col min="42" max="42" width="13.21875" style="74" bestFit="1" customWidth="1"/>
    <col min="43" max="43" width="11.44140625" style="74"/>
    <col min="44" max="44" width="11.77734375" style="74" bestFit="1" customWidth="1"/>
    <col min="45" max="45" width="15.6640625" style="74" bestFit="1" customWidth="1"/>
    <col min="46" max="16384" width="11.44140625" style="74"/>
  </cols>
  <sheetData>
    <row r="1" spans="1:48" s="34" customFormat="1" ht="18.600000000000001" customHeight="1" x14ac:dyDescent="0.3">
      <c r="A1" s="57"/>
      <c r="B1" s="57"/>
      <c r="C1" s="80">
        <v>45931</v>
      </c>
      <c r="D1" s="80">
        <v>45962</v>
      </c>
      <c r="E1" s="80">
        <v>45992</v>
      </c>
      <c r="F1" s="80">
        <v>46023</v>
      </c>
      <c r="G1" s="80">
        <v>46054</v>
      </c>
      <c r="H1" s="80">
        <v>46082</v>
      </c>
      <c r="I1" s="80">
        <v>46113</v>
      </c>
      <c r="J1" s="80">
        <v>46143</v>
      </c>
      <c r="K1" s="80">
        <v>46174</v>
      </c>
      <c r="L1" s="80">
        <v>46204</v>
      </c>
      <c r="M1" s="80">
        <v>46235</v>
      </c>
      <c r="N1" s="80">
        <v>46266</v>
      </c>
      <c r="O1" s="80">
        <v>46296</v>
      </c>
      <c r="P1" s="80">
        <v>46327</v>
      </c>
      <c r="Q1" s="80">
        <v>46357</v>
      </c>
      <c r="R1" s="80">
        <v>46388</v>
      </c>
      <c r="S1" s="80">
        <v>46419</v>
      </c>
      <c r="T1" s="80">
        <v>46447</v>
      </c>
      <c r="U1" s="80">
        <v>46478</v>
      </c>
      <c r="V1" s="80">
        <v>46508</v>
      </c>
      <c r="W1" s="80">
        <v>46539</v>
      </c>
      <c r="X1" s="80">
        <v>46569</v>
      </c>
      <c r="Y1" s="80">
        <v>46600</v>
      </c>
      <c r="Z1" s="80">
        <v>46631</v>
      </c>
      <c r="AA1" s="80">
        <v>46661</v>
      </c>
      <c r="AB1" s="80">
        <v>46692</v>
      </c>
      <c r="AC1" s="80">
        <v>46722</v>
      </c>
      <c r="AD1" s="80">
        <v>46753</v>
      </c>
      <c r="AE1" s="80">
        <v>46784</v>
      </c>
      <c r="AF1" s="80">
        <v>46813</v>
      </c>
      <c r="AG1" s="80">
        <v>46844</v>
      </c>
      <c r="AH1" s="80">
        <v>46874</v>
      </c>
      <c r="AI1" s="80">
        <v>46905</v>
      </c>
      <c r="AJ1" s="80">
        <v>46935</v>
      </c>
      <c r="AK1" s="80">
        <v>46966</v>
      </c>
      <c r="AL1" s="80">
        <v>46997</v>
      </c>
      <c r="AM1" s="80">
        <v>47027</v>
      </c>
      <c r="AN1" s="80">
        <v>47058</v>
      </c>
      <c r="AO1" s="80">
        <v>47088</v>
      </c>
      <c r="AP1" s="57"/>
    </row>
    <row r="2" spans="1:48" s="61" customFormat="1" ht="24.6" customHeight="1" x14ac:dyDescent="0.3">
      <c r="A2" s="58"/>
      <c r="B2" s="58" t="s">
        <v>144</v>
      </c>
      <c r="C2" s="59">
        <f t="shared" ref="C2:H2" si="0">C6</f>
        <v>0</v>
      </c>
      <c r="D2" s="59">
        <f t="shared" si="0"/>
        <v>0</v>
      </c>
      <c r="E2" s="59">
        <f t="shared" si="0"/>
        <v>0</v>
      </c>
      <c r="F2" s="59">
        <f t="shared" si="0"/>
        <v>0</v>
      </c>
      <c r="G2" s="59">
        <f t="shared" si="0"/>
        <v>1040</v>
      </c>
      <c r="H2" s="59">
        <f t="shared" si="0"/>
        <v>1655</v>
      </c>
      <c r="I2" s="59">
        <f t="shared" ref="I2:AB2" si="1">I6</f>
        <v>3345</v>
      </c>
      <c r="J2" s="59">
        <f t="shared" si="1"/>
        <v>5590</v>
      </c>
      <c r="K2" s="59">
        <f t="shared" si="1"/>
        <v>6665</v>
      </c>
      <c r="L2" s="59">
        <f t="shared" si="1"/>
        <v>6415</v>
      </c>
      <c r="M2" s="59">
        <f t="shared" si="1"/>
        <v>2655</v>
      </c>
      <c r="N2" s="59">
        <f t="shared" si="1"/>
        <v>7865</v>
      </c>
      <c r="O2" s="59">
        <f t="shared" si="1"/>
        <v>8990</v>
      </c>
      <c r="P2" s="59">
        <f t="shared" si="1"/>
        <v>9460</v>
      </c>
      <c r="Q2" s="59">
        <f t="shared" si="1"/>
        <v>9959.125</v>
      </c>
      <c r="R2" s="59">
        <f t="shared" si="1"/>
        <v>10998.715781250001</v>
      </c>
      <c r="S2" s="59">
        <f t="shared" si="1"/>
        <v>11590.007449218749</v>
      </c>
      <c r="T2" s="59">
        <f t="shared" si="1"/>
        <v>12218.201016503906</v>
      </c>
      <c r="U2" s="59">
        <f t="shared" si="1"/>
        <v>12885.691876765137</v>
      </c>
      <c r="V2" s="59">
        <f t="shared" si="1"/>
        <v>13595.036465747129</v>
      </c>
      <c r="W2" s="59">
        <f t="shared" si="1"/>
        <v>14348.963408814005</v>
      </c>
      <c r="X2" s="59">
        <f t="shared" si="1"/>
        <v>15150.385458017689</v>
      </c>
      <c r="Y2" s="59">
        <f t="shared" si="1"/>
        <v>16002.412275588778</v>
      </c>
      <c r="Z2" s="59">
        <f t="shared" si="1"/>
        <v>16908.364124888689</v>
      </c>
      <c r="AA2" s="59">
        <f t="shared" si="1"/>
        <v>22350</v>
      </c>
      <c r="AB2" s="59">
        <f t="shared" si="1"/>
        <v>22497</v>
      </c>
      <c r="AC2" s="59">
        <f>AC6</f>
        <v>22497</v>
      </c>
      <c r="AD2" s="59">
        <f t="shared" ref="AD2:AO2" si="2">AD6</f>
        <v>23323.894999999997</v>
      </c>
      <c r="AE2" s="59">
        <f t="shared" si="2"/>
        <v>23323.894999999997</v>
      </c>
      <c r="AF2" s="59">
        <f t="shared" si="2"/>
        <v>23323.894999999997</v>
      </c>
      <c r="AG2" s="59">
        <f t="shared" si="2"/>
        <v>23323.894999999997</v>
      </c>
      <c r="AH2" s="59">
        <f t="shared" si="2"/>
        <v>23323.894999999997</v>
      </c>
      <c r="AI2" s="59">
        <f t="shared" si="2"/>
        <v>23323.894999999997</v>
      </c>
      <c r="AJ2" s="59">
        <f t="shared" si="2"/>
        <v>23323.894999999997</v>
      </c>
      <c r="AK2" s="59">
        <f t="shared" si="2"/>
        <v>23323.894999999997</v>
      </c>
      <c r="AL2" s="59">
        <f t="shared" si="2"/>
        <v>23323.894999999997</v>
      </c>
      <c r="AM2" s="59">
        <f t="shared" si="2"/>
        <v>23323.894999999997</v>
      </c>
      <c r="AN2" s="59">
        <f t="shared" si="2"/>
        <v>23323.894999999997</v>
      </c>
      <c r="AO2" s="59">
        <f t="shared" si="2"/>
        <v>23323.894999999997</v>
      </c>
      <c r="AP2" s="60">
        <f>SUM(D2:AO2)</f>
        <v>534567.64285679429</v>
      </c>
      <c r="AR2" s="62"/>
      <c r="AS2" s="62"/>
      <c r="AT2" s="62"/>
      <c r="AU2" s="62"/>
      <c r="AV2" s="62"/>
    </row>
    <row r="3" spans="1:48" s="61" customFormat="1" ht="24.6" customHeight="1" x14ac:dyDescent="0.3">
      <c r="A3" s="63"/>
      <c r="B3" s="63" t="s">
        <v>145</v>
      </c>
      <c r="C3" s="64">
        <f>C18</f>
        <v>0</v>
      </c>
      <c r="D3" s="64">
        <f>D18</f>
        <v>0</v>
      </c>
      <c r="E3" s="64">
        <f>E18</f>
        <v>-629.70000000000005</v>
      </c>
      <c r="F3" s="64">
        <f t="shared" ref="F3:AO3" si="3">F18</f>
        <v>-652.54999999999995</v>
      </c>
      <c r="G3" s="64">
        <f t="shared" si="3"/>
        <v>-823.81</v>
      </c>
      <c r="H3" s="132">
        <f>H18</f>
        <v>-316.07</v>
      </c>
      <c r="I3" s="64">
        <f t="shared" si="3"/>
        <v>-313.7</v>
      </c>
      <c r="J3" s="64">
        <f t="shared" si="3"/>
        <v>-313.7</v>
      </c>
      <c r="K3" s="64">
        <f t="shared" si="3"/>
        <v>-313.7</v>
      </c>
      <c r="L3" s="64">
        <f t="shared" si="3"/>
        <v>-313.7</v>
      </c>
      <c r="M3" s="64">
        <f t="shared" si="3"/>
        <v>-313.7</v>
      </c>
      <c r="N3" s="64">
        <f t="shared" si="3"/>
        <v>-313.7</v>
      </c>
      <c r="O3" s="64">
        <f t="shared" si="3"/>
        <v>-313.7</v>
      </c>
      <c r="P3" s="64">
        <f t="shared" si="3"/>
        <v>-313.7</v>
      </c>
      <c r="Q3" s="64">
        <f t="shared" si="3"/>
        <v>-313.7</v>
      </c>
      <c r="R3" s="64">
        <f t="shared" si="3"/>
        <v>-313.7</v>
      </c>
      <c r="S3" s="64">
        <f t="shared" si="3"/>
        <v>-313.7</v>
      </c>
      <c r="T3" s="64">
        <f t="shared" si="3"/>
        <v>-313.7</v>
      </c>
      <c r="U3" s="64">
        <f t="shared" si="3"/>
        <v>-313.7</v>
      </c>
      <c r="V3" s="64">
        <f t="shared" si="3"/>
        <v>-313.7</v>
      </c>
      <c r="W3" s="64">
        <f t="shared" si="3"/>
        <v>-313.7</v>
      </c>
      <c r="X3" s="64">
        <f t="shared" si="3"/>
        <v>-313.7</v>
      </c>
      <c r="Y3" s="64">
        <f t="shared" si="3"/>
        <v>-313.7</v>
      </c>
      <c r="Z3" s="64">
        <f t="shared" si="3"/>
        <v>-313.7</v>
      </c>
      <c r="AA3" s="64">
        <f t="shared" si="3"/>
        <v>-313.7</v>
      </c>
      <c r="AB3" s="64">
        <f t="shared" si="3"/>
        <v>-313.7</v>
      </c>
      <c r="AC3" s="64">
        <f t="shared" si="3"/>
        <v>-313.7</v>
      </c>
      <c r="AD3" s="64">
        <f t="shared" si="3"/>
        <v>-313.7</v>
      </c>
      <c r="AE3" s="64">
        <f t="shared" si="3"/>
        <v>-313.7</v>
      </c>
      <c r="AF3" s="64">
        <f t="shared" si="3"/>
        <v>-313.7</v>
      </c>
      <c r="AG3" s="64">
        <f t="shared" si="3"/>
        <v>-313.7</v>
      </c>
      <c r="AH3" s="64">
        <f t="shared" si="3"/>
        <v>-313.7</v>
      </c>
      <c r="AI3" s="64">
        <f t="shared" si="3"/>
        <v>-313.7</v>
      </c>
      <c r="AJ3" s="64">
        <f t="shared" si="3"/>
        <v>-313.7</v>
      </c>
      <c r="AK3" s="64">
        <f t="shared" si="3"/>
        <v>-313.7</v>
      </c>
      <c r="AL3" s="64">
        <f t="shared" si="3"/>
        <v>-313.7</v>
      </c>
      <c r="AM3" s="64">
        <f t="shared" si="3"/>
        <v>-313.7</v>
      </c>
      <c r="AN3" s="64">
        <f t="shared" si="3"/>
        <v>-313.7</v>
      </c>
      <c r="AO3" s="64">
        <f t="shared" si="3"/>
        <v>-313.7</v>
      </c>
      <c r="AP3" s="65">
        <f>SUM(D3:AO3)</f>
        <v>-12774.230000000007</v>
      </c>
      <c r="AR3" s="88"/>
    </row>
    <row r="4" spans="1:48" s="61" customFormat="1" ht="24.6" customHeight="1" x14ac:dyDescent="0.3">
      <c r="A4" s="66"/>
      <c r="B4" s="66" t="s">
        <v>149</v>
      </c>
      <c r="C4" s="87">
        <f>C2+C3</f>
        <v>0</v>
      </c>
      <c r="D4" s="87">
        <f>D2+D3</f>
        <v>0</v>
      </c>
      <c r="E4" s="87">
        <f t="shared" ref="E4:AO4" si="4">E2+E3</f>
        <v>-629.70000000000005</v>
      </c>
      <c r="F4" s="131">
        <f>F2+F3</f>
        <v>-652.54999999999995</v>
      </c>
      <c r="G4" s="87">
        <f t="shared" si="4"/>
        <v>216.19000000000005</v>
      </c>
      <c r="H4" s="131">
        <f>H2+H3</f>
        <v>1338.93</v>
      </c>
      <c r="I4" s="87">
        <f t="shared" si="4"/>
        <v>3031.3</v>
      </c>
      <c r="J4" s="87">
        <f t="shared" si="4"/>
        <v>5276.3</v>
      </c>
      <c r="K4" s="87">
        <f t="shared" si="4"/>
        <v>6351.3</v>
      </c>
      <c r="L4" s="87">
        <f t="shared" si="4"/>
        <v>6101.3</v>
      </c>
      <c r="M4" s="87">
        <f t="shared" si="4"/>
        <v>2341.3000000000002</v>
      </c>
      <c r="N4" s="87">
        <f t="shared" si="4"/>
        <v>7551.3</v>
      </c>
      <c r="O4" s="87">
        <f t="shared" si="4"/>
        <v>8676.2999999999993</v>
      </c>
      <c r="P4" s="87">
        <f t="shared" si="4"/>
        <v>9146.2999999999993</v>
      </c>
      <c r="Q4" s="87">
        <f t="shared" si="4"/>
        <v>9645.4249999999993</v>
      </c>
      <c r="R4" s="87">
        <f t="shared" si="4"/>
        <v>10685.01578125</v>
      </c>
      <c r="S4" s="87">
        <f t="shared" si="4"/>
        <v>11276.307449218748</v>
      </c>
      <c r="T4" s="87">
        <f t="shared" si="4"/>
        <v>11904.501016503906</v>
      </c>
      <c r="U4" s="87">
        <f t="shared" si="4"/>
        <v>12571.991876765136</v>
      </c>
      <c r="V4" s="87">
        <f t="shared" si="4"/>
        <v>13281.336465747128</v>
      </c>
      <c r="W4" s="87">
        <f t="shared" si="4"/>
        <v>14035.263408814004</v>
      </c>
      <c r="X4" s="87">
        <f t="shared" si="4"/>
        <v>14836.685458017688</v>
      </c>
      <c r="Y4" s="87">
        <f t="shared" si="4"/>
        <v>15688.712275588778</v>
      </c>
      <c r="Z4" s="87">
        <f t="shared" si="4"/>
        <v>16594.664124888688</v>
      </c>
      <c r="AA4" s="87">
        <f t="shared" si="4"/>
        <v>22036.3</v>
      </c>
      <c r="AB4" s="87">
        <f t="shared" si="4"/>
        <v>22183.3</v>
      </c>
      <c r="AC4" s="87">
        <f t="shared" si="4"/>
        <v>22183.3</v>
      </c>
      <c r="AD4" s="87">
        <f t="shared" si="4"/>
        <v>23010.194999999996</v>
      </c>
      <c r="AE4" s="87">
        <f t="shared" si="4"/>
        <v>23010.194999999996</v>
      </c>
      <c r="AF4" s="87">
        <f t="shared" si="4"/>
        <v>23010.194999999996</v>
      </c>
      <c r="AG4" s="87">
        <f t="shared" si="4"/>
        <v>23010.194999999996</v>
      </c>
      <c r="AH4" s="87">
        <f t="shared" si="4"/>
        <v>23010.194999999996</v>
      </c>
      <c r="AI4" s="87">
        <f t="shared" si="4"/>
        <v>23010.194999999996</v>
      </c>
      <c r="AJ4" s="87">
        <f t="shared" si="4"/>
        <v>23010.194999999996</v>
      </c>
      <c r="AK4" s="87">
        <f t="shared" si="4"/>
        <v>23010.194999999996</v>
      </c>
      <c r="AL4" s="87">
        <f t="shared" si="4"/>
        <v>23010.194999999996</v>
      </c>
      <c r="AM4" s="87">
        <f t="shared" si="4"/>
        <v>23010.194999999996</v>
      </c>
      <c r="AN4" s="87">
        <f t="shared" si="4"/>
        <v>23010.194999999996</v>
      </c>
      <c r="AO4" s="87">
        <f t="shared" si="4"/>
        <v>23010.194999999996</v>
      </c>
      <c r="AP4" s="94">
        <f>SUM(D4:AO4)</f>
        <v>521793.41285679408</v>
      </c>
      <c r="AR4" s="89"/>
    </row>
    <row r="5" spans="1:48" s="67" customFormat="1" ht="15" customHeight="1" x14ac:dyDescent="0.3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R5" s="90"/>
    </row>
    <row r="6" spans="1:48" s="73" customFormat="1" ht="15" customHeight="1" x14ac:dyDescent="0.3">
      <c r="A6" s="69"/>
      <c r="B6" s="70" t="s">
        <v>146</v>
      </c>
      <c r="C6" s="71">
        <f>SUM(C7:C16)</f>
        <v>0</v>
      </c>
      <c r="D6" s="71">
        <f t="shared" ref="D6:AO6" si="5">SUM(D7:D16)</f>
        <v>0</v>
      </c>
      <c r="E6" s="71">
        <f t="shared" si="5"/>
        <v>0</v>
      </c>
      <c r="F6" s="71">
        <f t="shared" si="5"/>
        <v>0</v>
      </c>
      <c r="G6" s="71">
        <f t="shared" si="5"/>
        <v>1040</v>
      </c>
      <c r="H6" s="71">
        <f t="shared" si="5"/>
        <v>1655</v>
      </c>
      <c r="I6" s="71">
        <f t="shared" si="5"/>
        <v>3345</v>
      </c>
      <c r="J6" s="71">
        <f t="shared" si="5"/>
        <v>5590</v>
      </c>
      <c r="K6" s="71">
        <f t="shared" si="5"/>
        <v>6665</v>
      </c>
      <c r="L6" s="71">
        <f t="shared" si="5"/>
        <v>6415</v>
      </c>
      <c r="M6" s="71">
        <f t="shared" si="5"/>
        <v>2655</v>
      </c>
      <c r="N6" s="71">
        <f t="shared" si="5"/>
        <v>7865</v>
      </c>
      <c r="O6" s="71">
        <f t="shared" si="5"/>
        <v>8990</v>
      </c>
      <c r="P6" s="71">
        <f t="shared" si="5"/>
        <v>9460</v>
      </c>
      <c r="Q6" s="71">
        <f t="shared" si="5"/>
        <v>9959.125</v>
      </c>
      <c r="R6" s="71">
        <f t="shared" si="5"/>
        <v>10998.715781250001</v>
      </c>
      <c r="S6" s="71">
        <f t="shared" si="5"/>
        <v>11590.007449218749</v>
      </c>
      <c r="T6" s="71">
        <f t="shared" si="5"/>
        <v>12218.201016503906</v>
      </c>
      <c r="U6" s="71">
        <f t="shared" si="5"/>
        <v>12885.691876765137</v>
      </c>
      <c r="V6" s="71">
        <f t="shared" si="5"/>
        <v>13595.036465747129</v>
      </c>
      <c r="W6" s="71">
        <f t="shared" si="5"/>
        <v>14348.963408814005</v>
      </c>
      <c r="X6" s="71">
        <f t="shared" si="5"/>
        <v>15150.385458017689</v>
      </c>
      <c r="Y6" s="71">
        <f t="shared" si="5"/>
        <v>16002.412275588778</v>
      </c>
      <c r="Z6" s="71">
        <f t="shared" si="5"/>
        <v>16908.364124888689</v>
      </c>
      <c r="AA6" s="71">
        <f t="shared" si="5"/>
        <v>22350</v>
      </c>
      <c r="AB6" s="71">
        <f t="shared" si="5"/>
        <v>22497</v>
      </c>
      <c r="AC6" s="71">
        <f t="shared" si="5"/>
        <v>22497</v>
      </c>
      <c r="AD6" s="71">
        <f t="shared" si="5"/>
        <v>23323.894999999997</v>
      </c>
      <c r="AE6" s="71">
        <f t="shared" si="5"/>
        <v>23323.894999999997</v>
      </c>
      <c r="AF6" s="71">
        <f t="shared" si="5"/>
        <v>23323.894999999997</v>
      </c>
      <c r="AG6" s="71">
        <f t="shared" si="5"/>
        <v>23323.894999999997</v>
      </c>
      <c r="AH6" s="71">
        <f t="shared" si="5"/>
        <v>23323.894999999997</v>
      </c>
      <c r="AI6" s="71">
        <f t="shared" si="5"/>
        <v>23323.894999999997</v>
      </c>
      <c r="AJ6" s="71">
        <f t="shared" si="5"/>
        <v>23323.894999999997</v>
      </c>
      <c r="AK6" s="71">
        <f t="shared" si="5"/>
        <v>23323.894999999997</v>
      </c>
      <c r="AL6" s="71">
        <f t="shared" si="5"/>
        <v>23323.894999999997</v>
      </c>
      <c r="AM6" s="71">
        <f t="shared" si="5"/>
        <v>23323.894999999997</v>
      </c>
      <c r="AN6" s="71">
        <f t="shared" si="5"/>
        <v>23323.894999999997</v>
      </c>
      <c r="AO6" s="71">
        <f t="shared" si="5"/>
        <v>23323.894999999997</v>
      </c>
      <c r="AP6" s="72">
        <f>SUM(D6:AO6)</f>
        <v>534567.64285679429</v>
      </c>
      <c r="AR6" s="91"/>
    </row>
    <row r="7" spans="1:48" ht="15" customHeight="1" x14ac:dyDescent="0.3">
      <c r="B7" s="74" t="s">
        <v>147</v>
      </c>
      <c r="C7" s="75">
        <f>C69*$D$86</f>
        <v>0</v>
      </c>
      <c r="D7" s="75">
        <f t="shared" ref="D7:Q7" si="6">D69*$D$86</f>
        <v>0</v>
      </c>
      <c r="E7" s="108">
        <f t="shared" si="6"/>
        <v>0</v>
      </c>
      <c r="F7" s="108">
        <f t="shared" si="6"/>
        <v>0</v>
      </c>
      <c r="G7" s="75">
        <f t="shared" si="6"/>
        <v>0</v>
      </c>
      <c r="H7" s="75">
        <f t="shared" si="6"/>
        <v>525</v>
      </c>
      <c r="I7" s="75">
        <f t="shared" si="6"/>
        <v>1500</v>
      </c>
      <c r="J7" s="75">
        <f t="shared" si="6"/>
        <v>1500</v>
      </c>
      <c r="K7" s="75">
        <f t="shared" si="6"/>
        <v>1875</v>
      </c>
      <c r="L7" s="75">
        <f t="shared" si="6"/>
        <v>1875</v>
      </c>
      <c r="M7" s="75">
        <f t="shared" si="6"/>
        <v>900</v>
      </c>
      <c r="N7" s="75">
        <f t="shared" si="6"/>
        <v>2625</v>
      </c>
      <c r="O7" s="75">
        <f t="shared" si="6"/>
        <v>3000</v>
      </c>
      <c r="P7" s="75">
        <f t="shared" si="6"/>
        <v>3225</v>
      </c>
      <c r="Q7" s="75">
        <f t="shared" si="6"/>
        <v>3466.875</v>
      </c>
      <c r="R7" s="75">
        <f>R69*$R$86</f>
        <v>3913.2351562499998</v>
      </c>
      <c r="S7" s="75">
        <f t="shared" ref="S7:AC7" si="7">S69*$R$86</f>
        <v>4206.7277929687498</v>
      </c>
      <c r="T7" s="75">
        <f t="shared" si="7"/>
        <v>4522.2323774414053</v>
      </c>
      <c r="U7" s="75">
        <f t="shared" si="7"/>
        <v>4861.3998057495101</v>
      </c>
      <c r="V7" s="75">
        <f t="shared" si="7"/>
        <v>5226.0047911807233</v>
      </c>
      <c r="W7" s="75">
        <f t="shared" si="7"/>
        <v>5617.9551505192776</v>
      </c>
      <c r="X7" s="75">
        <f t="shared" si="7"/>
        <v>6039.3017868082234</v>
      </c>
      <c r="Y7" s="75">
        <f t="shared" si="7"/>
        <v>6492.24942081884</v>
      </c>
      <c r="Z7" s="75">
        <f t="shared" si="7"/>
        <v>6979.1681273802524</v>
      </c>
      <c r="AA7" s="75">
        <f t="shared" si="7"/>
        <v>11812.5</v>
      </c>
      <c r="AB7" s="75">
        <f t="shared" si="7"/>
        <v>11812.5</v>
      </c>
      <c r="AC7" s="75">
        <f t="shared" si="7"/>
        <v>11812.5</v>
      </c>
      <c r="AD7" s="75">
        <f>AD69*$AD$86</f>
        <v>12225.9375</v>
      </c>
      <c r="AE7" s="75">
        <f t="shared" ref="AE7:AO7" si="8">AE69*$AD$86</f>
        <v>12225.9375</v>
      </c>
      <c r="AF7" s="75">
        <f t="shared" si="8"/>
        <v>12225.9375</v>
      </c>
      <c r="AG7" s="75">
        <f t="shared" si="8"/>
        <v>12225.9375</v>
      </c>
      <c r="AH7" s="75">
        <f t="shared" si="8"/>
        <v>12225.9375</v>
      </c>
      <c r="AI7" s="75">
        <f t="shared" si="8"/>
        <v>12225.9375</v>
      </c>
      <c r="AJ7" s="75">
        <f t="shared" si="8"/>
        <v>12225.9375</v>
      </c>
      <c r="AK7" s="75">
        <f t="shared" si="8"/>
        <v>12225.9375</v>
      </c>
      <c r="AL7" s="75">
        <f t="shared" si="8"/>
        <v>12225.9375</v>
      </c>
      <c r="AM7" s="75">
        <f t="shared" si="8"/>
        <v>12225.9375</v>
      </c>
      <c r="AN7" s="75">
        <f t="shared" si="8"/>
        <v>12225.9375</v>
      </c>
      <c r="AO7" s="75">
        <f t="shared" si="8"/>
        <v>12225.9375</v>
      </c>
      <c r="AP7" s="76"/>
      <c r="AR7" s="92"/>
    </row>
    <row r="8" spans="1:48" ht="15" customHeight="1" x14ac:dyDescent="0.3">
      <c r="B8" s="32" t="s">
        <v>278</v>
      </c>
      <c r="C8" s="75">
        <f t="shared" ref="C8:F9" si="9">C70*$D$88</f>
        <v>0</v>
      </c>
      <c r="D8" s="75">
        <f t="shared" si="9"/>
        <v>0</v>
      </c>
      <c r="E8" s="108">
        <f t="shared" si="9"/>
        <v>0</v>
      </c>
      <c r="F8" s="108">
        <f t="shared" si="9"/>
        <v>0</v>
      </c>
      <c r="G8" s="75">
        <f>G70*$D$87</f>
        <v>75</v>
      </c>
      <c r="H8" s="75">
        <f t="shared" ref="H8:AO8" si="10">H70*$D$87</f>
        <v>75</v>
      </c>
      <c r="I8" s="75">
        <f t="shared" si="10"/>
        <v>75</v>
      </c>
      <c r="J8" s="75">
        <f t="shared" si="10"/>
        <v>75</v>
      </c>
      <c r="K8" s="75">
        <f t="shared" si="10"/>
        <v>75</v>
      </c>
      <c r="L8" s="75">
        <f t="shared" si="10"/>
        <v>75</v>
      </c>
      <c r="M8" s="75">
        <f t="shared" si="10"/>
        <v>75</v>
      </c>
      <c r="N8" s="75">
        <f t="shared" si="10"/>
        <v>75</v>
      </c>
      <c r="O8" s="75">
        <f t="shared" si="10"/>
        <v>75</v>
      </c>
      <c r="P8" s="75">
        <f t="shared" si="10"/>
        <v>75</v>
      </c>
      <c r="Q8" s="75">
        <f t="shared" si="10"/>
        <v>75</v>
      </c>
      <c r="R8" s="75">
        <f t="shared" si="10"/>
        <v>75</v>
      </c>
      <c r="S8" s="75">
        <f t="shared" si="10"/>
        <v>75</v>
      </c>
      <c r="T8" s="75">
        <f t="shared" si="10"/>
        <v>75</v>
      </c>
      <c r="U8" s="75">
        <f t="shared" si="10"/>
        <v>75</v>
      </c>
      <c r="V8" s="75">
        <f t="shared" si="10"/>
        <v>75</v>
      </c>
      <c r="W8" s="75">
        <f t="shared" si="10"/>
        <v>75</v>
      </c>
      <c r="X8" s="75">
        <f t="shared" si="10"/>
        <v>75</v>
      </c>
      <c r="Y8" s="75">
        <f t="shared" si="10"/>
        <v>75</v>
      </c>
      <c r="Z8" s="75">
        <f t="shared" si="10"/>
        <v>75</v>
      </c>
      <c r="AA8" s="75">
        <f t="shared" si="10"/>
        <v>75</v>
      </c>
      <c r="AB8" s="75">
        <f t="shared" si="10"/>
        <v>75</v>
      </c>
      <c r="AC8" s="75">
        <f t="shared" si="10"/>
        <v>75</v>
      </c>
      <c r="AD8" s="75">
        <f t="shared" si="10"/>
        <v>75</v>
      </c>
      <c r="AE8" s="75">
        <f t="shared" si="10"/>
        <v>75</v>
      </c>
      <c r="AF8" s="75">
        <f t="shared" si="10"/>
        <v>75</v>
      </c>
      <c r="AG8" s="75">
        <f t="shared" si="10"/>
        <v>75</v>
      </c>
      <c r="AH8" s="75">
        <f t="shared" si="10"/>
        <v>75</v>
      </c>
      <c r="AI8" s="75">
        <f t="shared" si="10"/>
        <v>75</v>
      </c>
      <c r="AJ8" s="75">
        <f t="shared" si="10"/>
        <v>75</v>
      </c>
      <c r="AK8" s="75">
        <f t="shared" si="10"/>
        <v>75</v>
      </c>
      <c r="AL8" s="75">
        <f t="shared" si="10"/>
        <v>75</v>
      </c>
      <c r="AM8" s="75">
        <f t="shared" si="10"/>
        <v>75</v>
      </c>
      <c r="AN8" s="75">
        <f t="shared" si="10"/>
        <v>75</v>
      </c>
      <c r="AO8" s="75">
        <f t="shared" si="10"/>
        <v>75</v>
      </c>
      <c r="AP8" s="76"/>
      <c r="AR8" s="92"/>
    </row>
    <row r="9" spans="1:48" ht="15" customHeight="1" x14ac:dyDescent="0.3">
      <c r="B9" s="74" t="s">
        <v>148</v>
      </c>
      <c r="C9" s="75">
        <f t="shared" si="9"/>
        <v>0</v>
      </c>
      <c r="D9" s="75">
        <f t="shared" si="9"/>
        <v>0</v>
      </c>
      <c r="E9" s="108">
        <f t="shared" si="9"/>
        <v>0</v>
      </c>
      <c r="F9" s="108">
        <f t="shared" si="9"/>
        <v>0</v>
      </c>
      <c r="G9" s="75">
        <f t="shared" ref="G9:Q9" si="11">G71*$D$88</f>
        <v>0</v>
      </c>
      <c r="H9" s="75">
        <f t="shared" si="11"/>
        <v>280</v>
      </c>
      <c r="I9" s="75">
        <f t="shared" si="11"/>
        <v>700</v>
      </c>
      <c r="J9" s="75">
        <f t="shared" si="11"/>
        <v>2800</v>
      </c>
      <c r="K9" s="75">
        <f t="shared" si="11"/>
        <v>3500</v>
      </c>
      <c r="L9" s="75">
        <f t="shared" si="11"/>
        <v>3500</v>
      </c>
      <c r="M9" s="75">
        <f t="shared" si="11"/>
        <v>1680</v>
      </c>
      <c r="N9" s="75">
        <f t="shared" si="11"/>
        <v>4200</v>
      </c>
      <c r="O9" s="75">
        <f t="shared" si="11"/>
        <v>4900</v>
      </c>
      <c r="P9" s="75">
        <f t="shared" si="11"/>
        <v>5145</v>
      </c>
      <c r="Q9" s="75">
        <f t="shared" si="11"/>
        <v>5402.25</v>
      </c>
      <c r="R9" s="75">
        <f t="shared" ref="R9:AC9" si="12">R71*$R$88</f>
        <v>5955.9806250000001</v>
      </c>
      <c r="S9" s="75">
        <f t="shared" si="12"/>
        <v>6253.7796562499998</v>
      </c>
      <c r="T9" s="75">
        <f t="shared" si="12"/>
        <v>6566.4686390625002</v>
      </c>
      <c r="U9" s="75">
        <f t="shared" si="12"/>
        <v>6894.7920710156259</v>
      </c>
      <c r="V9" s="75">
        <f t="shared" si="12"/>
        <v>7239.5316745664068</v>
      </c>
      <c r="W9" s="75">
        <f t="shared" si="12"/>
        <v>7601.5082582947271</v>
      </c>
      <c r="X9" s="75">
        <f t="shared" si="12"/>
        <v>7981.5836712094642</v>
      </c>
      <c r="Y9" s="75">
        <f t="shared" si="12"/>
        <v>8380.6628547699383</v>
      </c>
      <c r="Z9" s="75">
        <f t="shared" si="12"/>
        <v>8799.6959975084355</v>
      </c>
      <c r="AA9" s="75">
        <f t="shared" si="12"/>
        <v>9408</v>
      </c>
      <c r="AB9" s="75">
        <f t="shared" si="12"/>
        <v>9555</v>
      </c>
      <c r="AC9" s="75">
        <f t="shared" si="12"/>
        <v>9555</v>
      </c>
      <c r="AD9" s="75">
        <f t="shared" ref="AD9:AO9" si="13">AD71*$AD$88</f>
        <v>9889.4249999999993</v>
      </c>
      <c r="AE9" s="75">
        <f t="shared" si="13"/>
        <v>9889.4249999999993</v>
      </c>
      <c r="AF9" s="75">
        <f t="shared" si="13"/>
        <v>9889.4249999999993</v>
      </c>
      <c r="AG9" s="75">
        <f t="shared" si="13"/>
        <v>9889.4249999999993</v>
      </c>
      <c r="AH9" s="75">
        <f t="shared" si="13"/>
        <v>9889.4249999999993</v>
      </c>
      <c r="AI9" s="75">
        <f t="shared" si="13"/>
        <v>9889.4249999999993</v>
      </c>
      <c r="AJ9" s="75">
        <f t="shared" si="13"/>
        <v>9889.4249999999993</v>
      </c>
      <c r="AK9" s="75">
        <f t="shared" si="13"/>
        <v>9889.4249999999993</v>
      </c>
      <c r="AL9" s="75">
        <f t="shared" si="13"/>
        <v>9889.4249999999993</v>
      </c>
      <c r="AM9" s="75">
        <f t="shared" si="13"/>
        <v>9889.4249999999993</v>
      </c>
      <c r="AN9" s="75">
        <f t="shared" si="13"/>
        <v>9889.4249999999993</v>
      </c>
      <c r="AO9" s="75">
        <f t="shared" si="13"/>
        <v>9889.4249999999993</v>
      </c>
      <c r="AP9" s="76"/>
      <c r="AR9" s="92"/>
    </row>
    <row r="10" spans="1:48" ht="15" customHeight="1" x14ac:dyDescent="0.3">
      <c r="B10" s="74" t="s">
        <v>180</v>
      </c>
      <c r="C10" s="75">
        <f>C72*$D$89</f>
        <v>0</v>
      </c>
      <c r="D10" s="75">
        <f t="shared" ref="D10:AO10" si="14">D72*$D$89</f>
        <v>0</v>
      </c>
      <c r="E10" s="108">
        <f t="shared" si="14"/>
        <v>0</v>
      </c>
      <c r="F10" s="108">
        <f t="shared" si="14"/>
        <v>0</v>
      </c>
      <c r="G10" s="75">
        <f t="shared" si="14"/>
        <v>0</v>
      </c>
      <c r="H10" s="75">
        <f t="shared" si="14"/>
        <v>0</v>
      </c>
      <c r="I10" s="75">
        <f t="shared" si="14"/>
        <v>0</v>
      </c>
      <c r="J10" s="75">
        <f t="shared" si="14"/>
        <v>0</v>
      </c>
      <c r="K10" s="75">
        <f t="shared" si="14"/>
        <v>0</v>
      </c>
      <c r="L10" s="75">
        <f t="shared" si="14"/>
        <v>0</v>
      </c>
      <c r="M10" s="75">
        <f t="shared" si="14"/>
        <v>0</v>
      </c>
      <c r="N10" s="75">
        <f t="shared" si="14"/>
        <v>0</v>
      </c>
      <c r="O10" s="75">
        <f t="shared" si="14"/>
        <v>0</v>
      </c>
      <c r="P10" s="75">
        <f t="shared" si="14"/>
        <v>0</v>
      </c>
      <c r="Q10" s="75">
        <f t="shared" si="14"/>
        <v>0</v>
      </c>
      <c r="R10" s="75">
        <f t="shared" si="14"/>
        <v>0</v>
      </c>
      <c r="S10" s="75">
        <f t="shared" si="14"/>
        <v>0</v>
      </c>
      <c r="T10" s="75">
        <f t="shared" si="14"/>
        <v>0</v>
      </c>
      <c r="U10" s="75">
        <f t="shared" si="14"/>
        <v>0</v>
      </c>
      <c r="V10" s="75">
        <f t="shared" si="14"/>
        <v>0</v>
      </c>
      <c r="W10" s="75">
        <f t="shared" si="14"/>
        <v>0</v>
      </c>
      <c r="X10" s="75">
        <f t="shared" si="14"/>
        <v>0</v>
      </c>
      <c r="Y10" s="75">
        <f t="shared" si="14"/>
        <v>0</v>
      </c>
      <c r="Z10" s="75">
        <f t="shared" si="14"/>
        <v>0</v>
      </c>
      <c r="AA10" s="75">
        <f t="shared" si="14"/>
        <v>0</v>
      </c>
      <c r="AB10" s="75">
        <f t="shared" si="14"/>
        <v>0</v>
      </c>
      <c r="AC10" s="75">
        <f t="shared" si="14"/>
        <v>0</v>
      </c>
      <c r="AD10" s="75">
        <f t="shared" si="14"/>
        <v>0</v>
      </c>
      <c r="AE10" s="75">
        <f t="shared" si="14"/>
        <v>0</v>
      </c>
      <c r="AF10" s="75">
        <f t="shared" si="14"/>
        <v>0</v>
      </c>
      <c r="AG10" s="75">
        <f t="shared" si="14"/>
        <v>0</v>
      </c>
      <c r="AH10" s="75">
        <f t="shared" si="14"/>
        <v>0</v>
      </c>
      <c r="AI10" s="75">
        <f t="shared" si="14"/>
        <v>0</v>
      </c>
      <c r="AJ10" s="75">
        <f t="shared" si="14"/>
        <v>0</v>
      </c>
      <c r="AK10" s="75">
        <f t="shared" si="14"/>
        <v>0</v>
      </c>
      <c r="AL10" s="75">
        <f t="shared" si="14"/>
        <v>0</v>
      </c>
      <c r="AM10" s="75">
        <f t="shared" si="14"/>
        <v>0</v>
      </c>
      <c r="AN10" s="75">
        <f t="shared" si="14"/>
        <v>0</v>
      </c>
      <c r="AO10" s="75">
        <f t="shared" si="14"/>
        <v>0</v>
      </c>
      <c r="AP10" s="76"/>
    </row>
    <row r="11" spans="1:48" s="67" customFormat="1" ht="15" customHeight="1" x14ac:dyDescent="0.3">
      <c r="B11" s="74" t="s">
        <v>177</v>
      </c>
      <c r="C11" s="75">
        <f>C73*$D$90</f>
        <v>0</v>
      </c>
      <c r="D11" s="75">
        <f t="shared" ref="D11:Q11" si="15">D73*$D$90</f>
        <v>0</v>
      </c>
      <c r="E11" s="108">
        <f t="shared" si="15"/>
        <v>0</v>
      </c>
      <c r="F11" s="108">
        <f t="shared" si="15"/>
        <v>0</v>
      </c>
      <c r="G11" s="75">
        <f t="shared" si="15"/>
        <v>0</v>
      </c>
      <c r="H11" s="75">
        <f t="shared" si="15"/>
        <v>0</v>
      </c>
      <c r="I11" s="75">
        <f t="shared" si="15"/>
        <v>180</v>
      </c>
      <c r="J11" s="75">
        <f t="shared" si="15"/>
        <v>450</v>
      </c>
      <c r="K11" s="75">
        <f t="shared" si="15"/>
        <v>450</v>
      </c>
      <c r="L11" s="75">
        <f t="shared" si="15"/>
        <v>450</v>
      </c>
      <c r="M11" s="75">
        <f t="shared" si="15"/>
        <v>0</v>
      </c>
      <c r="N11" s="75">
        <f t="shared" si="15"/>
        <v>450</v>
      </c>
      <c r="O11" s="75">
        <f t="shared" si="15"/>
        <v>450</v>
      </c>
      <c r="P11" s="75">
        <f t="shared" si="15"/>
        <v>450</v>
      </c>
      <c r="Q11" s="75">
        <f t="shared" si="15"/>
        <v>450</v>
      </c>
      <c r="R11" s="75">
        <f>R73*$R$90</f>
        <v>472.5</v>
      </c>
      <c r="S11" s="75">
        <f t="shared" ref="S11:AC11" si="16">S73*$R$90</f>
        <v>472.5</v>
      </c>
      <c r="T11" s="75">
        <f t="shared" si="16"/>
        <v>472.5</v>
      </c>
      <c r="U11" s="75">
        <f t="shared" si="16"/>
        <v>472.5</v>
      </c>
      <c r="V11" s="75">
        <f t="shared" si="16"/>
        <v>472.5</v>
      </c>
      <c r="W11" s="75">
        <f t="shared" si="16"/>
        <v>472.5</v>
      </c>
      <c r="X11" s="75">
        <f t="shared" si="16"/>
        <v>472.5</v>
      </c>
      <c r="Y11" s="75">
        <f t="shared" si="16"/>
        <v>472.5</v>
      </c>
      <c r="Z11" s="75">
        <f t="shared" si="16"/>
        <v>472.5</v>
      </c>
      <c r="AA11" s="75">
        <f t="shared" si="16"/>
        <v>472.5</v>
      </c>
      <c r="AB11" s="75">
        <f t="shared" si="16"/>
        <v>472.5</v>
      </c>
      <c r="AC11" s="75">
        <f t="shared" si="16"/>
        <v>472.5</v>
      </c>
      <c r="AD11" s="75">
        <f>AD73*$AD$90</f>
        <v>489.03749999999997</v>
      </c>
      <c r="AE11" s="75">
        <f t="shared" ref="AE11:AO11" si="17">AE73*$AD$90</f>
        <v>489.03749999999997</v>
      </c>
      <c r="AF11" s="75">
        <f t="shared" si="17"/>
        <v>489.03749999999997</v>
      </c>
      <c r="AG11" s="75">
        <f t="shared" si="17"/>
        <v>489.03749999999997</v>
      </c>
      <c r="AH11" s="75">
        <f t="shared" si="17"/>
        <v>489.03749999999997</v>
      </c>
      <c r="AI11" s="75">
        <f t="shared" si="17"/>
        <v>489.03749999999997</v>
      </c>
      <c r="AJ11" s="75">
        <f t="shared" si="17"/>
        <v>489.03749999999997</v>
      </c>
      <c r="AK11" s="75">
        <f t="shared" si="17"/>
        <v>489.03749999999997</v>
      </c>
      <c r="AL11" s="75">
        <f t="shared" si="17"/>
        <v>489.03749999999997</v>
      </c>
      <c r="AM11" s="75">
        <f t="shared" si="17"/>
        <v>489.03749999999997</v>
      </c>
      <c r="AN11" s="75">
        <f t="shared" si="17"/>
        <v>489.03749999999997</v>
      </c>
      <c r="AO11" s="75">
        <f t="shared" si="17"/>
        <v>489.03749999999997</v>
      </c>
      <c r="AR11" s="90"/>
    </row>
    <row r="12" spans="1:48" s="67" customFormat="1" ht="15" customHeight="1" x14ac:dyDescent="0.3">
      <c r="B12" s="74" t="s">
        <v>178</v>
      </c>
      <c r="C12" s="75">
        <f>C74*$D$91</f>
        <v>0</v>
      </c>
      <c r="D12" s="75">
        <f t="shared" ref="D12:Q12" si="18">D74*$D$91</f>
        <v>0</v>
      </c>
      <c r="E12" s="108">
        <f t="shared" si="18"/>
        <v>0</v>
      </c>
      <c r="F12" s="108">
        <f t="shared" si="18"/>
        <v>0</v>
      </c>
      <c r="G12" s="75">
        <f t="shared" si="18"/>
        <v>0</v>
      </c>
      <c r="H12" s="75">
        <f t="shared" si="18"/>
        <v>0</v>
      </c>
      <c r="I12" s="75">
        <f t="shared" si="18"/>
        <v>340</v>
      </c>
      <c r="J12" s="75">
        <f t="shared" si="18"/>
        <v>340</v>
      </c>
      <c r="K12" s="75">
        <f t="shared" si="18"/>
        <v>340</v>
      </c>
      <c r="L12" s="75">
        <f t="shared" si="18"/>
        <v>340</v>
      </c>
      <c r="M12" s="75">
        <f t="shared" si="18"/>
        <v>0</v>
      </c>
      <c r="N12" s="75">
        <f t="shared" si="18"/>
        <v>340</v>
      </c>
      <c r="O12" s="75">
        <f t="shared" si="18"/>
        <v>340</v>
      </c>
      <c r="P12" s="75">
        <f t="shared" si="18"/>
        <v>340</v>
      </c>
      <c r="Q12" s="75">
        <f t="shared" si="18"/>
        <v>340</v>
      </c>
      <c r="R12" s="75">
        <f>R74*$R$91</f>
        <v>357</v>
      </c>
      <c r="S12" s="75">
        <f t="shared" ref="S12:AC12" si="19">S74*$R$91</f>
        <v>357</v>
      </c>
      <c r="T12" s="75">
        <f t="shared" si="19"/>
        <v>357</v>
      </c>
      <c r="U12" s="75">
        <f t="shared" si="19"/>
        <v>357</v>
      </c>
      <c r="V12" s="75">
        <f t="shared" si="19"/>
        <v>357</v>
      </c>
      <c r="W12" s="75">
        <f t="shared" si="19"/>
        <v>357</v>
      </c>
      <c r="X12" s="75">
        <f t="shared" si="19"/>
        <v>357</v>
      </c>
      <c r="Y12" s="75">
        <f t="shared" si="19"/>
        <v>357</v>
      </c>
      <c r="Z12" s="75">
        <f t="shared" si="19"/>
        <v>357</v>
      </c>
      <c r="AA12" s="75">
        <f t="shared" si="19"/>
        <v>357</v>
      </c>
      <c r="AB12" s="75">
        <f t="shared" si="19"/>
        <v>357</v>
      </c>
      <c r="AC12" s="75">
        <f t="shared" si="19"/>
        <v>357</v>
      </c>
      <c r="AD12" s="75">
        <f>AD74*$AD$91</f>
        <v>369.49499999999995</v>
      </c>
      <c r="AE12" s="75">
        <f t="shared" ref="AE12:AO12" si="20">AE74*$AD$91</f>
        <v>369.49499999999995</v>
      </c>
      <c r="AF12" s="75">
        <f t="shared" si="20"/>
        <v>369.49499999999995</v>
      </c>
      <c r="AG12" s="75">
        <f t="shared" si="20"/>
        <v>369.49499999999995</v>
      </c>
      <c r="AH12" s="75">
        <f t="shared" si="20"/>
        <v>369.49499999999995</v>
      </c>
      <c r="AI12" s="75">
        <f t="shared" si="20"/>
        <v>369.49499999999995</v>
      </c>
      <c r="AJ12" s="75">
        <f t="shared" si="20"/>
        <v>369.49499999999995</v>
      </c>
      <c r="AK12" s="75">
        <f t="shared" si="20"/>
        <v>369.49499999999995</v>
      </c>
      <c r="AL12" s="75">
        <f t="shared" si="20"/>
        <v>369.49499999999995</v>
      </c>
      <c r="AM12" s="75">
        <f t="shared" si="20"/>
        <v>369.49499999999995</v>
      </c>
      <c r="AN12" s="75">
        <f t="shared" si="20"/>
        <v>369.49499999999995</v>
      </c>
      <c r="AO12" s="75">
        <f t="shared" si="20"/>
        <v>369.49499999999995</v>
      </c>
      <c r="AR12" s="90"/>
    </row>
    <row r="13" spans="1:48" s="67" customFormat="1" ht="15" customHeight="1" x14ac:dyDescent="0.3">
      <c r="B13" s="74" t="s">
        <v>161</v>
      </c>
      <c r="C13" s="75">
        <f>C75*$D$92</f>
        <v>0</v>
      </c>
      <c r="D13" s="75">
        <f>D75*$D$92</f>
        <v>0</v>
      </c>
      <c r="E13" s="108">
        <f t="shared" ref="E13:Q13" si="21">E75*$D$92</f>
        <v>0</v>
      </c>
      <c r="F13" s="108">
        <f t="shared" si="21"/>
        <v>0</v>
      </c>
      <c r="G13" s="75">
        <f t="shared" si="21"/>
        <v>0</v>
      </c>
      <c r="H13" s="75">
        <f t="shared" si="21"/>
        <v>0</v>
      </c>
      <c r="I13" s="75">
        <f t="shared" si="21"/>
        <v>50</v>
      </c>
      <c r="J13" s="75">
        <f t="shared" si="21"/>
        <v>50</v>
      </c>
      <c r="K13" s="75">
        <f t="shared" si="21"/>
        <v>50</v>
      </c>
      <c r="L13" s="75">
        <f t="shared" si="21"/>
        <v>50</v>
      </c>
      <c r="M13" s="75">
        <f t="shared" si="21"/>
        <v>0</v>
      </c>
      <c r="N13" s="75">
        <f t="shared" si="21"/>
        <v>50</v>
      </c>
      <c r="O13" s="75">
        <f t="shared" si="21"/>
        <v>100</v>
      </c>
      <c r="P13" s="75">
        <f t="shared" si="21"/>
        <v>100</v>
      </c>
      <c r="Q13" s="75">
        <f t="shared" si="21"/>
        <v>100</v>
      </c>
      <c r="R13" s="75">
        <f>R75*$R$92</f>
        <v>100</v>
      </c>
      <c r="S13" s="75">
        <f t="shared" ref="S13:AC13" si="22">S75*$R$92</f>
        <v>100</v>
      </c>
      <c r="T13" s="75">
        <f t="shared" si="22"/>
        <v>100</v>
      </c>
      <c r="U13" s="75">
        <f t="shared" si="22"/>
        <v>100</v>
      </c>
      <c r="V13" s="75">
        <f t="shared" si="22"/>
        <v>100</v>
      </c>
      <c r="W13" s="75">
        <f t="shared" si="22"/>
        <v>100</v>
      </c>
      <c r="X13" s="75">
        <f t="shared" si="22"/>
        <v>100</v>
      </c>
      <c r="Y13" s="75">
        <f t="shared" si="22"/>
        <v>100</v>
      </c>
      <c r="Z13" s="75">
        <f t="shared" si="22"/>
        <v>100</v>
      </c>
      <c r="AA13" s="75">
        <f t="shared" si="22"/>
        <v>100</v>
      </c>
      <c r="AB13" s="75">
        <f t="shared" si="22"/>
        <v>100</v>
      </c>
      <c r="AC13" s="75">
        <f t="shared" si="22"/>
        <v>100</v>
      </c>
      <c r="AD13" s="75">
        <f>AD75*$AD$92</f>
        <v>150</v>
      </c>
      <c r="AE13" s="75">
        <f t="shared" ref="AE13:AO13" si="23">AE75*$AD$92</f>
        <v>150</v>
      </c>
      <c r="AF13" s="75">
        <f t="shared" si="23"/>
        <v>150</v>
      </c>
      <c r="AG13" s="75">
        <f t="shared" si="23"/>
        <v>150</v>
      </c>
      <c r="AH13" s="75">
        <f t="shared" si="23"/>
        <v>150</v>
      </c>
      <c r="AI13" s="75">
        <f t="shared" si="23"/>
        <v>150</v>
      </c>
      <c r="AJ13" s="75">
        <f t="shared" si="23"/>
        <v>150</v>
      </c>
      <c r="AK13" s="75">
        <f t="shared" si="23"/>
        <v>150</v>
      </c>
      <c r="AL13" s="75">
        <f t="shared" si="23"/>
        <v>150</v>
      </c>
      <c r="AM13" s="75">
        <f t="shared" si="23"/>
        <v>150</v>
      </c>
      <c r="AN13" s="75">
        <f t="shared" si="23"/>
        <v>150</v>
      </c>
      <c r="AO13" s="75">
        <f t="shared" si="23"/>
        <v>150</v>
      </c>
      <c r="AR13" s="90"/>
    </row>
    <row r="14" spans="1:48" s="67" customFormat="1" ht="15" customHeight="1" x14ac:dyDescent="0.3">
      <c r="B14" s="74" t="s">
        <v>176</v>
      </c>
      <c r="C14" s="75">
        <f t="shared" ref="C14:Q14" si="24">C76*$D$93</f>
        <v>0</v>
      </c>
      <c r="D14" s="75">
        <f t="shared" si="24"/>
        <v>0</v>
      </c>
      <c r="E14" s="108">
        <f t="shared" si="24"/>
        <v>0</v>
      </c>
      <c r="F14" s="108">
        <f t="shared" si="24"/>
        <v>0</v>
      </c>
      <c r="G14" s="75">
        <f t="shared" si="24"/>
        <v>875</v>
      </c>
      <c r="H14" s="75">
        <f t="shared" si="24"/>
        <v>775</v>
      </c>
      <c r="I14" s="75">
        <f t="shared" si="24"/>
        <v>500</v>
      </c>
      <c r="J14" s="75">
        <f t="shared" si="24"/>
        <v>375</v>
      </c>
      <c r="K14" s="75">
        <f t="shared" si="24"/>
        <v>375</v>
      </c>
      <c r="L14" s="75">
        <f t="shared" si="24"/>
        <v>125</v>
      </c>
      <c r="M14" s="75">
        <f t="shared" si="24"/>
        <v>0</v>
      </c>
      <c r="N14" s="75">
        <f t="shared" si="24"/>
        <v>125</v>
      </c>
      <c r="O14" s="75">
        <f t="shared" si="24"/>
        <v>125</v>
      </c>
      <c r="P14" s="75">
        <f t="shared" si="24"/>
        <v>125</v>
      </c>
      <c r="Q14" s="75">
        <f t="shared" si="24"/>
        <v>125</v>
      </c>
      <c r="R14" s="75">
        <f>R76*$R$93</f>
        <v>125</v>
      </c>
      <c r="S14" s="75">
        <f t="shared" ref="S14:AC14" si="25">S76*$R$93</f>
        <v>125</v>
      </c>
      <c r="T14" s="75">
        <f t="shared" si="25"/>
        <v>125</v>
      </c>
      <c r="U14" s="75">
        <f t="shared" si="25"/>
        <v>125</v>
      </c>
      <c r="V14" s="75">
        <f t="shared" si="25"/>
        <v>125</v>
      </c>
      <c r="W14" s="75">
        <f t="shared" si="25"/>
        <v>125</v>
      </c>
      <c r="X14" s="75">
        <f t="shared" si="25"/>
        <v>125</v>
      </c>
      <c r="Y14" s="75">
        <f t="shared" si="25"/>
        <v>125</v>
      </c>
      <c r="Z14" s="75">
        <f t="shared" si="25"/>
        <v>125</v>
      </c>
      <c r="AA14" s="75">
        <f t="shared" si="25"/>
        <v>125</v>
      </c>
      <c r="AB14" s="75">
        <f t="shared" si="25"/>
        <v>125</v>
      </c>
      <c r="AC14" s="75">
        <f t="shared" si="25"/>
        <v>125</v>
      </c>
      <c r="AD14" s="75">
        <f>AD76*$AD$93</f>
        <v>125</v>
      </c>
      <c r="AE14" s="75">
        <f t="shared" ref="AE14:AO14" si="26">AE76*$AD$93</f>
        <v>125</v>
      </c>
      <c r="AF14" s="75">
        <f t="shared" si="26"/>
        <v>125</v>
      </c>
      <c r="AG14" s="75">
        <f t="shared" si="26"/>
        <v>125</v>
      </c>
      <c r="AH14" s="75">
        <f t="shared" si="26"/>
        <v>125</v>
      </c>
      <c r="AI14" s="75">
        <f t="shared" si="26"/>
        <v>125</v>
      </c>
      <c r="AJ14" s="75">
        <f t="shared" si="26"/>
        <v>125</v>
      </c>
      <c r="AK14" s="75">
        <f t="shared" si="26"/>
        <v>125</v>
      </c>
      <c r="AL14" s="75">
        <f t="shared" si="26"/>
        <v>125</v>
      </c>
      <c r="AM14" s="75">
        <f t="shared" si="26"/>
        <v>125</v>
      </c>
      <c r="AN14" s="75">
        <f t="shared" si="26"/>
        <v>125</v>
      </c>
      <c r="AO14" s="75">
        <f t="shared" si="26"/>
        <v>125</v>
      </c>
    </row>
    <row r="15" spans="1:48" s="67" customFormat="1" ht="15" customHeight="1" x14ac:dyDescent="0.3">
      <c r="B15" s="32" t="s">
        <v>280</v>
      </c>
      <c r="C15" s="75">
        <f>C77*$D$93</f>
        <v>0</v>
      </c>
      <c r="D15" s="75">
        <f>D77*$D$93</f>
        <v>0</v>
      </c>
      <c r="E15" s="108">
        <f>E77*$D$93</f>
        <v>0</v>
      </c>
      <c r="F15" s="108">
        <f>F77*$D$93</f>
        <v>0</v>
      </c>
      <c r="G15" s="75">
        <f>G77*$D$94</f>
        <v>90</v>
      </c>
      <c r="H15" s="75">
        <f t="shared" ref="H15:AO15" si="27">H77*$D$94</f>
        <v>0</v>
      </c>
      <c r="I15" s="75">
        <f t="shared" si="27"/>
        <v>0</v>
      </c>
      <c r="J15" s="75">
        <f t="shared" si="27"/>
        <v>0</v>
      </c>
      <c r="K15" s="75">
        <f t="shared" si="27"/>
        <v>0</v>
      </c>
      <c r="L15" s="75">
        <f t="shared" si="27"/>
        <v>0</v>
      </c>
      <c r="M15" s="75">
        <f t="shared" si="27"/>
        <v>0</v>
      </c>
      <c r="N15" s="75">
        <f t="shared" si="27"/>
        <v>0</v>
      </c>
      <c r="O15" s="75">
        <f t="shared" si="27"/>
        <v>0</v>
      </c>
      <c r="P15" s="75">
        <f t="shared" si="27"/>
        <v>0</v>
      </c>
      <c r="Q15" s="75">
        <f t="shared" si="27"/>
        <v>0</v>
      </c>
      <c r="R15" s="75">
        <f t="shared" si="27"/>
        <v>0</v>
      </c>
      <c r="S15" s="75">
        <f t="shared" si="27"/>
        <v>0</v>
      </c>
      <c r="T15" s="75">
        <f t="shared" si="27"/>
        <v>0</v>
      </c>
      <c r="U15" s="75">
        <f t="shared" si="27"/>
        <v>0</v>
      </c>
      <c r="V15" s="75">
        <f t="shared" si="27"/>
        <v>0</v>
      </c>
      <c r="W15" s="75">
        <f t="shared" si="27"/>
        <v>0</v>
      </c>
      <c r="X15" s="75">
        <f t="shared" si="27"/>
        <v>0</v>
      </c>
      <c r="Y15" s="75">
        <f t="shared" si="27"/>
        <v>0</v>
      </c>
      <c r="Z15" s="75">
        <f t="shared" si="27"/>
        <v>0</v>
      </c>
      <c r="AA15" s="75">
        <f t="shared" si="27"/>
        <v>0</v>
      </c>
      <c r="AB15" s="75">
        <f t="shared" si="27"/>
        <v>0</v>
      </c>
      <c r="AC15" s="75">
        <f t="shared" si="27"/>
        <v>0</v>
      </c>
      <c r="AD15" s="75">
        <f t="shared" si="27"/>
        <v>0</v>
      </c>
      <c r="AE15" s="75">
        <f t="shared" si="27"/>
        <v>0</v>
      </c>
      <c r="AF15" s="75">
        <f t="shared" si="27"/>
        <v>0</v>
      </c>
      <c r="AG15" s="75">
        <f t="shared" si="27"/>
        <v>0</v>
      </c>
      <c r="AH15" s="75">
        <f t="shared" si="27"/>
        <v>0</v>
      </c>
      <c r="AI15" s="75">
        <f t="shared" si="27"/>
        <v>0</v>
      </c>
      <c r="AJ15" s="75">
        <f t="shared" si="27"/>
        <v>0</v>
      </c>
      <c r="AK15" s="75">
        <f t="shared" si="27"/>
        <v>0</v>
      </c>
      <c r="AL15" s="75">
        <f t="shared" si="27"/>
        <v>0</v>
      </c>
      <c r="AM15" s="75">
        <f t="shared" si="27"/>
        <v>0</v>
      </c>
      <c r="AN15" s="75">
        <f t="shared" si="27"/>
        <v>0</v>
      </c>
      <c r="AO15" s="75">
        <f t="shared" si="27"/>
        <v>0</v>
      </c>
    </row>
    <row r="16" spans="1:48" s="67" customFormat="1" ht="15" customHeight="1" x14ac:dyDescent="0.3">
      <c r="B16" s="74" t="s">
        <v>160</v>
      </c>
      <c r="C16" s="75">
        <v>0</v>
      </c>
      <c r="D16" s="75">
        <v>0</v>
      </c>
      <c r="E16" s="108">
        <v>0</v>
      </c>
      <c r="F16" s="108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  <c r="Z16" s="75">
        <v>0</v>
      </c>
      <c r="AA16" s="75">
        <v>0</v>
      </c>
      <c r="AB16" s="75">
        <v>0</v>
      </c>
      <c r="AC16" s="75">
        <v>0</v>
      </c>
      <c r="AD16" s="75">
        <v>0</v>
      </c>
      <c r="AE16" s="75">
        <v>0</v>
      </c>
      <c r="AF16" s="75">
        <v>0</v>
      </c>
      <c r="AG16" s="75">
        <v>0</v>
      </c>
      <c r="AH16" s="75">
        <v>0</v>
      </c>
      <c r="AI16" s="75">
        <v>0</v>
      </c>
      <c r="AJ16" s="75">
        <v>0</v>
      </c>
      <c r="AK16" s="75">
        <v>0</v>
      </c>
      <c r="AL16" s="75">
        <v>0</v>
      </c>
      <c r="AM16" s="75">
        <v>0</v>
      </c>
      <c r="AN16" s="75">
        <v>0</v>
      </c>
      <c r="AO16" s="75">
        <v>0</v>
      </c>
    </row>
    <row r="17" spans="1:42" s="67" customFormat="1" ht="15" customHeight="1" x14ac:dyDescent="0.3">
      <c r="C17" s="68"/>
      <c r="D17" s="68"/>
      <c r="E17" s="109"/>
      <c r="F17" s="10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</row>
    <row r="18" spans="1:42" s="73" customFormat="1" ht="15" customHeight="1" x14ac:dyDescent="0.3">
      <c r="A18" s="69"/>
      <c r="B18" s="77" t="s">
        <v>68</v>
      </c>
      <c r="C18" s="85">
        <f t="shared" ref="C18:AO18" si="28">SUM(C43:C59)</f>
        <v>0</v>
      </c>
      <c r="D18" s="85">
        <f t="shared" si="28"/>
        <v>0</v>
      </c>
      <c r="E18" s="85">
        <f t="shared" si="28"/>
        <v>-629.70000000000005</v>
      </c>
      <c r="F18" s="85">
        <f t="shared" si="28"/>
        <v>-652.54999999999995</v>
      </c>
      <c r="G18" s="85">
        <f t="shared" si="28"/>
        <v>-823.81</v>
      </c>
      <c r="H18" s="85">
        <f t="shared" si="28"/>
        <v>-316.07</v>
      </c>
      <c r="I18" s="85">
        <f t="shared" si="28"/>
        <v>-313.7</v>
      </c>
      <c r="J18" s="85">
        <f t="shared" si="28"/>
        <v>-313.7</v>
      </c>
      <c r="K18" s="85">
        <f t="shared" si="28"/>
        <v>-313.7</v>
      </c>
      <c r="L18" s="85">
        <f t="shared" si="28"/>
        <v>-313.7</v>
      </c>
      <c r="M18" s="85">
        <f t="shared" si="28"/>
        <v>-313.7</v>
      </c>
      <c r="N18" s="85">
        <f t="shared" si="28"/>
        <v>-313.7</v>
      </c>
      <c r="O18" s="85">
        <f t="shared" si="28"/>
        <v>-313.7</v>
      </c>
      <c r="P18" s="85">
        <f t="shared" si="28"/>
        <v>-313.7</v>
      </c>
      <c r="Q18" s="85">
        <f t="shared" si="28"/>
        <v>-313.7</v>
      </c>
      <c r="R18" s="85">
        <f t="shared" si="28"/>
        <v>-313.7</v>
      </c>
      <c r="S18" s="85">
        <f t="shared" si="28"/>
        <v>-313.7</v>
      </c>
      <c r="T18" s="85">
        <f t="shared" si="28"/>
        <v>-313.7</v>
      </c>
      <c r="U18" s="85">
        <f t="shared" si="28"/>
        <v>-313.7</v>
      </c>
      <c r="V18" s="85">
        <f t="shared" si="28"/>
        <v>-313.7</v>
      </c>
      <c r="W18" s="85">
        <f t="shared" si="28"/>
        <v>-313.7</v>
      </c>
      <c r="X18" s="85">
        <f t="shared" si="28"/>
        <v>-313.7</v>
      </c>
      <c r="Y18" s="85">
        <f t="shared" si="28"/>
        <v>-313.7</v>
      </c>
      <c r="Z18" s="85">
        <f t="shared" si="28"/>
        <v>-313.7</v>
      </c>
      <c r="AA18" s="85">
        <f t="shared" si="28"/>
        <v>-313.7</v>
      </c>
      <c r="AB18" s="85">
        <f t="shared" si="28"/>
        <v>-313.7</v>
      </c>
      <c r="AC18" s="85">
        <f t="shared" si="28"/>
        <v>-313.7</v>
      </c>
      <c r="AD18" s="85">
        <f t="shared" si="28"/>
        <v>-313.7</v>
      </c>
      <c r="AE18" s="85">
        <f t="shared" si="28"/>
        <v>-313.7</v>
      </c>
      <c r="AF18" s="85">
        <f t="shared" si="28"/>
        <v>-313.7</v>
      </c>
      <c r="AG18" s="85">
        <f t="shared" si="28"/>
        <v>-313.7</v>
      </c>
      <c r="AH18" s="85">
        <f t="shared" si="28"/>
        <v>-313.7</v>
      </c>
      <c r="AI18" s="85">
        <f t="shared" si="28"/>
        <v>-313.7</v>
      </c>
      <c r="AJ18" s="85">
        <f t="shared" si="28"/>
        <v>-313.7</v>
      </c>
      <c r="AK18" s="85">
        <f t="shared" si="28"/>
        <v>-313.7</v>
      </c>
      <c r="AL18" s="85">
        <f t="shared" si="28"/>
        <v>-313.7</v>
      </c>
      <c r="AM18" s="85">
        <f t="shared" si="28"/>
        <v>-313.7</v>
      </c>
      <c r="AN18" s="85">
        <f t="shared" si="28"/>
        <v>-313.7</v>
      </c>
      <c r="AO18" s="85">
        <f t="shared" si="28"/>
        <v>-313.7</v>
      </c>
      <c r="AP18" s="95">
        <f>SUM(D18:AO18)</f>
        <v>-12774.230000000007</v>
      </c>
    </row>
    <row r="19" spans="1:42" ht="15" customHeight="1" x14ac:dyDescent="0.3">
      <c r="B19" s="102"/>
      <c r="E19" s="108"/>
      <c r="F19" s="108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5"/>
    </row>
    <row r="20" spans="1:42" ht="15" customHeight="1" x14ac:dyDescent="0.3">
      <c r="B20" s="102" t="s">
        <v>242</v>
      </c>
      <c r="E20" s="106">
        <v>0</v>
      </c>
      <c r="F20" s="106">
        <v>0</v>
      </c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5"/>
    </row>
    <row r="21" spans="1:42" ht="15" customHeight="1" x14ac:dyDescent="0.3">
      <c r="B21" s="102"/>
      <c r="E21" s="108"/>
      <c r="F21" s="108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5"/>
    </row>
    <row r="22" spans="1:42" ht="15" customHeight="1" x14ac:dyDescent="0.3">
      <c r="B22" s="102"/>
      <c r="E22" s="108"/>
      <c r="F22" s="108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5"/>
    </row>
    <row r="23" spans="1:42" ht="15" customHeight="1" x14ac:dyDescent="0.3">
      <c r="B23" s="102" t="s">
        <v>243</v>
      </c>
      <c r="C23" s="75">
        <f t="shared" ref="C23:AP23" si="29">SUM(C24:C39)</f>
        <v>0</v>
      </c>
      <c r="D23" s="75">
        <f t="shared" si="29"/>
        <v>0</v>
      </c>
      <c r="E23" s="113">
        <f t="shared" si="29"/>
        <v>-10754</v>
      </c>
      <c r="F23" s="113">
        <f t="shared" si="29"/>
        <v>-12098.24</v>
      </c>
      <c r="G23" s="114">
        <f t="shared" si="29"/>
        <v>-35667.829999999994</v>
      </c>
      <c r="H23" s="114">
        <f t="shared" si="29"/>
        <v>-4606.46</v>
      </c>
      <c r="I23" s="114">
        <f t="shared" si="29"/>
        <v>-408</v>
      </c>
      <c r="J23" s="114">
        <f t="shared" si="29"/>
        <v>-408</v>
      </c>
      <c r="K23" s="114">
        <f t="shared" si="29"/>
        <v>-408</v>
      </c>
      <c r="L23" s="114">
        <f t="shared" si="29"/>
        <v>-408</v>
      </c>
      <c r="M23" s="114">
        <f t="shared" si="29"/>
        <v>-408</v>
      </c>
      <c r="N23" s="114">
        <f t="shared" si="29"/>
        <v>-408</v>
      </c>
      <c r="O23" s="114">
        <f t="shared" si="29"/>
        <v>-408</v>
      </c>
      <c r="P23" s="114">
        <f t="shared" si="29"/>
        <v>-408</v>
      </c>
      <c r="Q23" s="114">
        <f t="shared" si="29"/>
        <v>-408</v>
      </c>
      <c r="R23" s="114">
        <f t="shared" si="29"/>
        <v>0</v>
      </c>
      <c r="S23" s="114">
        <f t="shared" si="29"/>
        <v>0</v>
      </c>
      <c r="T23" s="114">
        <f t="shared" si="29"/>
        <v>0</v>
      </c>
      <c r="U23" s="114">
        <f t="shared" si="29"/>
        <v>0</v>
      </c>
      <c r="V23" s="114">
        <f t="shared" si="29"/>
        <v>0</v>
      </c>
      <c r="W23" s="114">
        <f t="shared" si="29"/>
        <v>0</v>
      </c>
      <c r="X23" s="114">
        <f t="shared" si="29"/>
        <v>0</v>
      </c>
      <c r="Y23" s="114">
        <f t="shared" si="29"/>
        <v>0</v>
      </c>
      <c r="Z23" s="114">
        <f t="shared" si="29"/>
        <v>0</v>
      </c>
      <c r="AA23" s="114">
        <f t="shared" si="29"/>
        <v>0</v>
      </c>
      <c r="AB23" s="114">
        <f t="shared" si="29"/>
        <v>0</v>
      </c>
      <c r="AC23" s="114">
        <f t="shared" si="29"/>
        <v>0</v>
      </c>
      <c r="AD23" s="114">
        <f t="shared" si="29"/>
        <v>0</v>
      </c>
      <c r="AE23" s="114">
        <f t="shared" si="29"/>
        <v>0</v>
      </c>
      <c r="AF23" s="114">
        <f t="shared" si="29"/>
        <v>0</v>
      </c>
      <c r="AG23" s="114">
        <f t="shared" si="29"/>
        <v>0</v>
      </c>
      <c r="AH23" s="114">
        <f t="shared" si="29"/>
        <v>0</v>
      </c>
      <c r="AI23" s="114">
        <f t="shared" si="29"/>
        <v>0</v>
      </c>
      <c r="AJ23" s="114">
        <f t="shared" si="29"/>
        <v>0</v>
      </c>
      <c r="AK23" s="114">
        <f t="shared" si="29"/>
        <v>0</v>
      </c>
      <c r="AL23" s="114">
        <f t="shared" si="29"/>
        <v>0</v>
      </c>
      <c r="AM23" s="114">
        <f t="shared" si="29"/>
        <v>0</v>
      </c>
      <c r="AN23" s="114">
        <f t="shared" si="29"/>
        <v>0</v>
      </c>
      <c r="AO23" s="114">
        <f t="shared" si="29"/>
        <v>0</v>
      </c>
      <c r="AP23" s="114">
        <f t="shared" si="29"/>
        <v>0</v>
      </c>
    </row>
    <row r="24" spans="1:42" ht="15" customHeight="1" x14ac:dyDescent="0.3">
      <c r="B24" s="32" t="s">
        <v>287</v>
      </c>
      <c r="E24" s="110"/>
      <c r="F24" s="110">
        <v>-9680</v>
      </c>
      <c r="G24" s="79">
        <v>-6050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5"/>
    </row>
    <row r="25" spans="1:42" ht="15" customHeight="1" x14ac:dyDescent="0.3">
      <c r="B25" s="32" t="s">
        <v>288</v>
      </c>
      <c r="E25" s="110">
        <f>-3000-5000</f>
        <v>-8000</v>
      </c>
      <c r="F25" s="110"/>
      <c r="G25" s="79">
        <v>-8000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5"/>
    </row>
    <row r="26" spans="1:42" ht="15" customHeight="1" x14ac:dyDescent="0.3">
      <c r="B26" s="78" t="s">
        <v>247</v>
      </c>
      <c r="E26" s="110">
        <v>-2754</v>
      </c>
      <c r="F26" s="110">
        <v>-879.8</v>
      </c>
      <c r="G26" s="79"/>
      <c r="H26" s="79">
        <v>-878.8</v>
      </c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5"/>
    </row>
    <row r="27" spans="1:42" ht="15" customHeight="1" x14ac:dyDescent="0.3">
      <c r="B27" s="78" t="s">
        <v>285</v>
      </c>
      <c r="E27" s="108"/>
      <c r="F27" s="110"/>
      <c r="G27" s="79"/>
      <c r="H27" s="79">
        <v>-512</v>
      </c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5"/>
    </row>
    <row r="28" spans="1:42" ht="15" customHeight="1" x14ac:dyDescent="0.3">
      <c r="B28" s="78" t="s">
        <v>283</v>
      </c>
      <c r="E28" s="108"/>
      <c r="F28" s="110"/>
      <c r="G28" s="79">
        <v>-1300.75</v>
      </c>
      <c r="H28" s="79">
        <v>-1300.75</v>
      </c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5"/>
    </row>
    <row r="29" spans="1:42" ht="15" customHeight="1" x14ac:dyDescent="0.3">
      <c r="B29" s="78" t="s">
        <v>253</v>
      </c>
      <c r="E29" s="108"/>
      <c r="F29" s="111"/>
      <c r="G29" s="79">
        <v>-17966.810000000001</v>
      </c>
      <c r="H29" s="79">
        <v>-1032.1300000000001</v>
      </c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5"/>
    </row>
    <row r="30" spans="1:42" ht="15" customHeight="1" x14ac:dyDescent="0.3">
      <c r="B30" s="78" t="s">
        <v>248</v>
      </c>
      <c r="E30" s="108"/>
      <c r="F30" s="108"/>
      <c r="G30" s="79">
        <f>-440.64-949-154</f>
        <v>-1543.6399999999999</v>
      </c>
      <c r="H30" s="79">
        <v>-409.79</v>
      </c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5"/>
    </row>
    <row r="31" spans="1:42" ht="15" customHeight="1" x14ac:dyDescent="0.3">
      <c r="B31" s="78" t="s">
        <v>289</v>
      </c>
      <c r="E31" s="108"/>
      <c r="F31" s="110">
        <v>-120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5"/>
    </row>
    <row r="32" spans="1:42" ht="15" customHeight="1" x14ac:dyDescent="0.3">
      <c r="B32" s="78" t="s">
        <v>290</v>
      </c>
      <c r="E32" s="108"/>
      <c r="F32" s="110">
        <v>-180</v>
      </c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5"/>
    </row>
    <row r="33" spans="2:42" x14ac:dyDescent="0.3">
      <c r="B33" s="74" t="s">
        <v>150</v>
      </c>
      <c r="C33" s="75">
        <v>0</v>
      </c>
      <c r="D33" s="75">
        <v>0</v>
      </c>
      <c r="E33" s="108">
        <v>0</v>
      </c>
      <c r="F33" s="110">
        <v>-1200</v>
      </c>
      <c r="G33" s="79">
        <v>-408</v>
      </c>
      <c r="H33" s="79">
        <v>-408</v>
      </c>
      <c r="I33" s="79">
        <v>-408</v>
      </c>
      <c r="J33" s="79">
        <v>-408</v>
      </c>
      <c r="K33" s="79">
        <v>-408</v>
      </c>
      <c r="L33" s="79">
        <v>-408</v>
      </c>
      <c r="M33" s="79">
        <v>-408</v>
      </c>
      <c r="N33" s="79">
        <v>-408</v>
      </c>
      <c r="O33" s="79">
        <v>-408</v>
      </c>
      <c r="P33" s="79">
        <v>-408</v>
      </c>
      <c r="Q33" s="79">
        <v>-408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</row>
    <row r="34" spans="2:42" x14ac:dyDescent="0.3">
      <c r="B34" s="74" t="s">
        <v>152</v>
      </c>
      <c r="C34" s="75">
        <v>0</v>
      </c>
      <c r="D34" s="75">
        <v>0</v>
      </c>
      <c r="E34" s="108">
        <v>0</v>
      </c>
      <c r="F34" s="110">
        <v>-31.67</v>
      </c>
      <c r="G34" s="79">
        <v>-33.65</v>
      </c>
      <c r="H34" s="79">
        <v>-37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</row>
    <row r="35" spans="2:42" x14ac:dyDescent="0.3">
      <c r="B35" s="74" t="s">
        <v>153</v>
      </c>
      <c r="C35" s="75">
        <v>0</v>
      </c>
      <c r="D35" s="75">
        <v>0</v>
      </c>
      <c r="E35" s="108">
        <v>0</v>
      </c>
      <c r="F35" s="108">
        <v>0</v>
      </c>
      <c r="G35" s="79">
        <v>-79.64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</row>
    <row r="36" spans="2:42" x14ac:dyDescent="0.3">
      <c r="B36" s="32" t="s">
        <v>260</v>
      </c>
      <c r="C36" s="75">
        <v>0</v>
      </c>
      <c r="D36" s="75">
        <v>0</v>
      </c>
      <c r="E36" s="108">
        <v>0</v>
      </c>
      <c r="F36" s="108">
        <v>0</v>
      </c>
      <c r="G36" s="79">
        <v>-278.33999999999997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</row>
    <row r="37" spans="2:42" x14ac:dyDescent="0.3">
      <c r="B37" s="32" t="s">
        <v>286</v>
      </c>
      <c r="E37" s="108"/>
      <c r="F37" s="108"/>
      <c r="G37" s="79"/>
      <c r="H37" s="79">
        <v>-20.99</v>
      </c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</row>
    <row r="38" spans="2:42" x14ac:dyDescent="0.3">
      <c r="B38" s="32" t="s">
        <v>245</v>
      </c>
      <c r="E38" s="108"/>
      <c r="F38" s="108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</row>
    <row r="39" spans="2:42" x14ac:dyDescent="0.3">
      <c r="B39" s="32" t="s">
        <v>246</v>
      </c>
      <c r="E39" s="108"/>
      <c r="F39" s="110">
        <v>-6.77</v>
      </c>
      <c r="G39" s="79">
        <v>-7</v>
      </c>
      <c r="H39" s="79">
        <v>-7</v>
      </c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</row>
    <row r="40" spans="2:42" x14ac:dyDescent="0.3">
      <c r="E40" s="108"/>
      <c r="F40" s="110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</row>
    <row r="41" spans="2:42" ht="15" customHeight="1" x14ac:dyDescent="0.3">
      <c r="B41" s="102" t="s">
        <v>241</v>
      </c>
      <c r="C41" s="75">
        <f t="shared" ref="C41:AO41" si="30">SUM(C42:C48)</f>
        <v>0</v>
      </c>
      <c r="D41" s="75">
        <f t="shared" si="30"/>
        <v>0</v>
      </c>
      <c r="E41" s="106">
        <f t="shared" si="30"/>
        <v>0</v>
      </c>
      <c r="F41" s="106">
        <f t="shared" si="30"/>
        <v>0</v>
      </c>
      <c r="G41" s="75">
        <f t="shared" si="30"/>
        <v>0</v>
      </c>
      <c r="H41" s="75">
        <f t="shared" si="30"/>
        <v>0</v>
      </c>
      <c r="I41" s="75">
        <f t="shared" si="30"/>
        <v>0</v>
      </c>
      <c r="J41" s="75">
        <f t="shared" si="30"/>
        <v>0</v>
      </c>
      <c r="K41" s="75">
        <f t="shared" si="30"/>
        <v>0</v>
      </c>
      <c r="L41" s="75">
        <f t="shared" si="30"/>
        <v>0</v>
      </c>
      <c r="M41" s="75">
        <f t="shared" si="30"/>
        <v>0</v>
      </c>
      <c r="N41" s="75">
        <f t="shared" si="30"/>
        <v>0</v>
      </c>
      <c r="O41" s="75">
        <f t="shared" si="30"/>
        <v>0</v>
      </c>
      <c r="P41" s="75">
        <f t="shared" si="30"/>
        <v>0</v>
      </c>
      <c r="Q41" s="75">
        <f t="shared" si="30"/>
        <v>0</v>
      </c>
      <c r="R41" s="75">
        <f t="shared" si="30"/>
        <v>0</v>
      </c>
      <c r="S41" s="75">
        <f t="shared" si="30"/>
        <v>0</v>
      </c>
      <c r="T41" s="75">
        <f t="shared" si="30"/>
        <v>0</v>
      </c>
      <c r="U41" s="75">
        <f t="shared" si="30"/>
        <v>0</v>
      </c>
      <c r="V41" s="75">
        <f t="shared" si="30"/>
        <v>0</v>
      </c>
      <c r="W41" s="75">
        <f t="shared" si="30"/>
        <v>0</v>
      </c>
      <c r="X41" s="75">
        <f t="shared" si="30"/>
        <v>0</v>
      </c>
      <c r="Y41" s="75">
        <f t="shared" si="30"/>
        <v>0</v>
      </c>
      <c r="Z41" s="75">
        <f t="shared" si="30"/>
        <v>0</v>
      </c>
      <c r="AA41" s="75">
        <f t="shared" si="30"/>
        <v>0</v>
      </c>
      <c r="AB41" s="75">
        <f t="shared" si="30"/>
        <v>0</v>
      </c>
      <c r="AC41" s="75">
        <f t="shared" si="30"/>
        <v>0</v>
      </c>
      <c r="AD41" s="75">
        <f t="shared" si="30"/>
        <v>0</v>
      </c>
      <c r="AE41" s="75">
        <f t="shared" si="30"/>
        <v>0</v>
      </c>
      <c r="AF41" s="75">
        <f t="shared" si="30"/>
        <v>0</v>
      </c>
      <c r="AG41" s="75">
        <f t="shared" si="30"/>
        <v>0</v>
      </c>
      <c r="AH41" s="75">
        <f t="shared" si="30"/>
        <v>0</v>
      </c>
      <c r="AI41" s="75">
        <f t="shared" si="30"/>
        <v>0</v>
      </c>
      <c r="AJ41" s="75">
        <f t="shared" si="30"/>
        <v>0</v>
      </c>
      <c r="AK41" s="75">
        <f t="shared" si="30"/>
        <v>0</v>
      </c>
      <c r="AL41" s="75">
        <f t="shared" si="30"/>
        <v>0</v>
      </c>
      <c r="AM41" s="75">
        <f t="shared" si="30"/>
        <v>0</v>
      </c>
      <c r="AN41" s="75">
        <f t="shared" si="30"/>
        <v>0</v>
      </c>
      <c r="AO41" s="75">
        <f t="shared" si="30"/>
        <v>0</v>
      </c>
      <c r="AP41" s="75"/>
    </row>
    <row r="42" spans="2:42" ht="15" customHeight="1" x14ac:dyDescent="0.3">
      <c r="B42" s="78" t="s">
        <v>250</v>
      </c>
      <c r="C42" s="75">
        <v>0</v>
      </c>
      <c r="D42" s="75">
        <v>0</v>
      </c>
      <c r="E42" s="108">
        <v>0</v>
      </c>
      <c r="F42" s="108">
        <v>0</v>
      </c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5"/>
    </row>
    <row r="43" spans="2:42" ht="15" customHeight="1" x14ac:dyDescent="0.3">
      <c r="B43" s="78" t="s">
        <v>251</v>
      </c>
      <c r="C43" s="75">
        <v>0</v>
      </c>
      <c r="D43" s="75">
        <v>0</v>
      </c>
      <c r="E43" s="108">
        <v>0</v>
      </c>
      <c r="F43" s="108">
        <v>0</v>
      </c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5"/>
    </row>
    <row r="44" spans="2:42" ht="15" customHeight="1" x14ac:dyDescent="0.3">
      <c r="B44" s="78" t="s">
        <v>252</v>
      </c>
      <c r="C44" s="75">
        <v>0</v>
      </c>
      <c r="D44" s="75">
        <v>0</v>
      </c>
      <c r="E44" s="108">
        <v>0</v>
      </c>
      <c r="F44" s="108">
        <v>0</v>
      </c>
      <c r="H44" s="75"/>
      <c r="I44" s="75"/>
      <c r="J44" s="75"/>
      <c r="K44" s="75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5"/>
    </row>
    <row r="45" spans="2:42" ht="15" customHeight="1" x14ac:dyDescent="0.3">
      <c r="B45" s="78" t="s">
        <v>172</v>
      </c>
      <c r="C45" s="75">
        <v>0</v>
      </c>
      <c r="D45" s="75">
        <v>0</v>
      </c>
      <c r="E45" s="108">
        <v>0</v>
      </c>
      <c r="F45" s="108">
        <v>0</v>
      </c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5"/>
    </row>
    <row r="46" spans="2:42" ht="15" customHeight="1" x14ac:dyDescent="0.3">
      <c r="B46" s="78" t="s">
        <v>173</v>
      </c>
      <c r="C46" s="75">
        <v>0</v>
      </c>
      <c r="D46" s="75">
        <v>0</v>
      </c>
      <c r="E46" s="108">
        <v>0</v>
      </c>
      <c r="F46" s="108">
        <v>0</v>
      </c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5"/>
    </row>
    <row r="47" spans="2:42" x14ac:dyDescent="0.3">
      <c r="B47" s="74" t="s">
        <v>174</v>
      </c>
      <c r="C47" s="75">
        <v>0</v>
      </c>
      <c r="D47" s="75">
        <v>0</v>
      </c>
      <c r="E47" s="108">
        <v>0</v>
      </c>
      <c r="F47" s="108">
        <v>0</v>
      </c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</row>
    <row r="48" spans="2:42" x14ac:dyDescent="0.3">
      <c r="B48" s="32" t="s">
        <v>219</v>
      </c>
      <c r="C48" s="75">
        <f>SUM(C7:C14)*(-0.02)</f>
        <v>0</v>
      </c>
      <c r="D48" s="75">
        <f>SUM(D7:D14)*(-0.02)</f>
        <v>0</v>
      </c>
      <c r="E48" s="108">
        <f>SUM(E7:E14)*(-0.02)</f>
        <v>0</v>
      </c>
      <c r="F48" s="108">
        <v>0</v>
      </c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</row>
    <row r="49" spans="1:42" x14ac:dyDescent="0.3">
      <c r="B49" s="32"/>
      <c r="E49" s="108"/>
      <c r="F49" s="108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</row>
    <row r="50" spans="1:42" x14ac:dyDescent="0.3">
      <c r="B50" s="32"/>
      <c r="E50" s="108"/>
      <c r="F50" s="108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</row>
    <row r="51" spans="1:42" x14ac:dyDescent="0.3">
      <c r="B51" s="34" t="s">
        <v>240</v>
      </c>
      <c r="E51" s="107">
        <f>-205.7-424</f>
        <v>-629.70000000000005</v>
      </c>
      <c r="F51" s="107">
        <v>-652.54999999999995</v>
      </c>
      <c r="G51" s="79">
        <v>-205.7</v>
      </c>
      <c r="H51" s="79">
        <v>-205.7</v>
      </c>
      <c r="I51" s="79">
        <v>-205.7</v>
      </c>
      <c r="J51" s="79">
        <v>-205.7</v>
      </c>
      <c r="K51" s="79">
        <v>-205.7</v>
      </c>
      <c r="L51" s="79">
        <v>-205.7</v>
      </c>
      <c r="M51" s="79">
        <v>-205.7</v>
      </c>
      <c r="N51" s="79">
        <v>-205.7</v>
      </c>
      <c r="O51" s="79">
        <v>-205.7</v>
      </c>
      <c r="P51" s="79">
        <v>-205.7</v>
      </c>
      <c r="Q51" s="79">
        <v>-205.7</v>
      </c>
      <c r="R51" s="79">
        <v>-205.7</v>
      </c>
      <c r="S51" s="79">
        <v>-205.7</v>
      </c>
      <c r="T51" s="79">
        <v>-205.7</v>
      </c>
      <c r="U51" s="79">
        <v>-205.7</v>
      </c>
      <c r="V51" s="79">
        <v>-205.7</v>
      </c>
      <c r="W51" s="79">
        <v>-205.7</v>
      </c>
      <c r="X51" s="79">
        <v>-205.7</v>
      </c>
      <c r="Y51" s="79">
        <v>-205.7</v>
      </c>
      <c r="Z51" s="79">
        <v>-205.7</v>
      </c>
      <c r="AA51" s="79">
        <v>-205.7</v>
      </c>
      <c r="AB51" s="79">
        <v>-205.7</v>
      </c>
      <c r="AC51" s="79">
        <v>-205.7</v>
      </c>
      <c r="AD51" s="79">
        <v>-205.7</v>
      </c>
      <c r="AE51" s="79">
        <v>-205.7</v>
      </c>
      <c r="AF51" s="79">
        <v>-205.7</v>
      </c>
      <c r="AG51" s="79">
        <v>-205.7</v>
      </c>
      <c r="AH51" s="79">
        <v>-205.7</v>
      </c>
      <c r="AI51" s="79">
        <v>-205.7</v>
      </c>
      <c r="AJ51" s="79">
        <v>-205.7</v>
      </c>
      <c r="AK51" s="79">
        <v>-205.7</v>
      </c>
      <c r="AL51" s="79">
        <v>-205.7</v>
      </c>
      <c r="AM51" s="79">
        <v>-205.7</v>
      </c>
      <c r="AN51" s="79">
        <v>-205.7</v>
      </c>
      <c r="AO51" s="79">
        <v>-205.7</v>
      </c>
    </row>
    <row r="52" spans="1:42" x14ac:dyDescent="0.3">
      <c r="E52" s="108"/>
      <c r="F52" s="108"/>
    </row>
    <row r="53" spans="1:42" x14ac:dyDescent="0.3">
      <c r="B53" s="34" t="s">
        <v>254</v>
      </c>
      <c r="E53" s="107"/>
      <c r="F53" s="107"/>
      <c r="G53" s="79">
        <v>-126.24</v>
      </c>
      <c r="H53" s="79">
        <v>-110.37</v>
      </c>
      <c r="I53" s="79">
        <v>-108</v>
      </c>
      <c r="J53" s="79">
        <v>-108</v>
      </c>
      <c r="K53" s="79">
        <v>-108</v>
      </c>
      <c r="L53" s="79">
        <v>-108</v>
      </c>
      <c r="M53" s="79">
        <v>-108</v>
      </c>
      <c r="N53" s="79">
        <v>-108</v>
      </c>
      <c r="O53" s="79">
        <v>-108</v>
      </c>
      <c r="P53" s="79">
        <v>-108</v>
      </c>
      <c r="Q53" s="79">
        <v>-108</v>
      </c>
      <c r="R53" s="79">
        <v>-108</v>
      </c>
      <c r="S53" s="79">
        <v>-108</v>
      </c>
      <c r="T53" s="79">
        <v>-108</v>
      </c>
      <c r="U53" s="79">
        <v>-108</v>
      </c>
      <c r="V53" s="79">
        <v>-108</v>
      </c>
      <c r="W53" s="79">
        <v>-108</v>
      </c>
      <c r="X53" s="79">
        <v>-108</v>
      </c>
      <c r="Y53" s="79">
        <v>-108</v>
      </c>
      <c r="Z53" s="79">
        <v>-108</v>
      </c>
      <c r="AA53" s="79">
        <v>-108</v>
      </c>
      <c r="AB53" s="79">
        <v>-108</v>
      </c>
      <c r="AC53" s="79">
        <v>-108</v>
      </c>
      <c r="AD53" s="79">
        <v>-108</v>
      </c>
      <c r="AE53" s="79">
        <v>-108</v>
      </c>
      <c r="AF53" s="79">
        <v>-108</v>
      </c>
      <c r="AG53" s="79">
        <v>-108</v>
      </c>
      <c r="AH53" s="79">
        <v>-108</v>
      </c>
      <c r="AI53" s="79">
        <v>-108</v>
      </c>
      <c r="AJ53" s="79">
        <v>-108</v>
      </c>
      <c r="AK53" s="79">
        <v>-108</v>
      </c>
      <c r="AL53" s="79">
        <v>-108</v>
      </c>
      <c r="AM53" s="79">
        <v>-108</v>
      </c>
      <c r="AN53" s="79">
        <v>-108</v>
      </c>
      <c r="AO53" s="79">
        <v>-108</v>
      </c>
    </row>
    <row r="54" spans="1:42" x14ac:dyDescent="0.3">
      <c r="E54" s="108"/>
      <c r="F54" s="108"/>
    </row>
    <row r="55" spans="1:42" x14ac:dyDescent="0.3">
      <c r="E55" s="108"/>
      <c r="F55" s="108"/>
    </row>
    <row r="56" spans="1:42" x14ac:dyDescent="0.3">
      <c r="E56" s="108"/>
      <c r="F56" s="108"/>
    </row>
    <row r="57" spans="1:42" x14ac:dyDescent="0.3">
      <c r="B57" s="34" t="s">
        <v>244</v>
      </c>
      <c r="E57" s="106"/>
      <c r="F57" s="106"/>
    </row>
    <row r="58" spans="1:42" x14ac:dyDescent="0.3">
      <c r="B58" s="74" t="s">
        <v>163</v>
      </c>
      <c r="C58" s="75">
        <v>0</v>
      </c>
      <c r="D58" s="75">
        <v>0</v>
      </c>
      <c r="E58" s="108">
        <v>0</v>
      </c>
      <c r="F58" s="108">
        <v>0</v>
      </c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</row>
    <row r="59" spans="1:42" x14ac:dyDescent="0.3">
      <c r="B59" s="74" t="s">
        <v>284</v>
      </c>
      <c r="C59" s="75">
        <v>0</v>
      </c>
      <c r="D59" s="75">
        <v>0</v>
      </c>
      <c r="E59" s="108">
        <v>0</v>
      </c>
      <c r="F59" s="108">
        <v>0</v>
      </c>
      <c r="G59" s="79">
        <v>-491.87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</row>
    <row r="60" spans="1:42" x14ac:dyDescent="0.3">
      <c r="E60" s="108"/>
      <c r="F60" s="108"/>
    </row>
    <row r="61" spans="1:42" s="73" customFormat="1" ht="15" customHeight="1" x14ac:dyDescent="0.3">
      <c r="A61" s="69"/>
      <c r="B61" s="70" t="s">
        <v>201</v>
      </c>
      <c r="C61" s="83">
        <f>SUM(C62:C65)</f>
        <v>3000</v>
      </c>
      <c r="D61" s="83">
        <f>SUM(D62:D65)</f>
        <v>0</v>
      </c>
      <c r="E61" s="83">
        <f t="shared" ref="E61:AO61" si="31">D61+E4</f>
        <v>-629.70000000000005</v>
      </c>
      <c r="F61" s="83">
        <f t="shared" si="31"/>
        <v>-1282.25</v>
      </c>
      <c r="G61" s="83">
        <f t="shared" si="31"/>
        <v>-1066.06</v>
      </c>
      <c r="H61" s="83">
        <f t="shared" si="31"/>
        <v>272.87000000000012</v>
      </c>
      <c r="I61" s="83">
        <f t="shared" si="31"/>
        <v>3304.17</v>
      </c>
      <c r="J61" s="83">
        <f t="shared" si="31"/>
        <v>8580.4700000000012</v>
      </c>
      <c r="K61" s="83">
        <f t="shared" si="31"/>
        <v>14931.77</v>
      </c>
      <c r="L61" s="83">
        <f t="shared" si="31"/>
        <v>21033.07</v>
      </c>
      <c r="M61" s="83">
        <f t="shared" si="31"/>
        <v>23374.37</v>
      </c>
      <c r="N61" s="83">
        <f t="shared" si="31"/>
        <v>30925.67</v>
      </c>
      <c r="O61" s="83">
        <f t="shared" si="31"/>
        <v>39601.97</v>
      </c>
      <c r="P61" s="83">
        <f t="shared" si="31"/>
        <v>48748.270000000004</v>
      </c>
      <c r="Q61" s="83">
        <f t="shared" si="31"/>
        <v>58393.695000000007</v>
      </c>
      <c r="R61" s="83">
        <f t="shared" si="31"/>
        <v>69078.710781250003</v>
      </c>
      <c r="S61" s="83">
        <f t="shared" si="31"/>
        <v>80355.018230468748</v>
      </c>
      <c r="T61" s="83">
        <f t="shared" si="31"/>
        <v>92259.519246972661</v>
      </c>
      <c r="U61" s="83">
        <f t="shared" si="31"/>
        <v>104831.5111237378</v>
      </c>
      <c r="V61" s="83">
        <f t="shared" si="31"/>
        <v>118112.84758948493</v>
      </c>
      <c r="W61" s="83">
        <f t="shared" si="31"/>
        <v>132148.11099829891</v>
      </c>
      <c r="X61" s="83">
        <f t="shared" si="31"/>
        <v>146984.7964563166</v>
      </c>
      <c r="Y61" s="83">
        <f t="shared" si="31"/>
        <v>162673.50873190537</v>
      </c>
      <c r="Z61" s="83">
        <f t="shared" si="31"/>
        <v>179268.17285679406</v>
      </c>
      <c r="AA61" s="83">
        <f t="shared" si="31"/>
        <v>201304.47285679405</v>
      </c>
      <c r="AB61" s="83">
        <f t="shared" si="31"/>
        <v>223487.77285679404</v>
      </c>
      <c r="AC61" s="83">
        <f t="shared" si="31"/>
        <v>245671.07285679402</v>
      </c>
      <c r="AD61" s="83">
        <f t="shared" si="31"/>
        <v>268681.267856794</v>
      </c>
      <c r="AE61" s="83">
        <f t="shared" si="31"/>
        <v>291691.46285679401</v>
      </c>
      <c r="AF61" s="83">
        <f t="shared" si="31"/>
        <v>314701.65785679402</v>
      </c>
      <c r="AG61" s="83">
        <f t="shared" si="31"/>
        <v>337711.85285679402</v>
      </c>
      <c r="AH61" s="83">
        <f t="shared" si="31"/>
        <v>360722.04785679403</v>
      </c>
      <c r="AI61" s="83">
        <f t="shared" si="31"/>
        <v>383732.24285679404</v>
      </c>
      <c r="AJ61" s="83">
        <f t="shared" si="31"/>
        <v>406742.43785679404</v>
      </c>
      <c r="AK61" s="83">
        <f t="shared" si="31"/>
        <v>429752.63285679405</v>
      </c>
      <c r="AL61" s="83">
        <f t="shared" si="31"/>
        <v>452762.82785679406</v>
      </c>
      <c r="AM61" s="83">
        <f t="shared" si="31"/>
        <v>475773.02285679406</v>
      </c>
      <c r="AN61" s="83">
        <f t="shared" si="31"/>
        <v>498783.21785679407</v>
      </c>
      <c r="AO61" s="83">
        <f t="shared" si="31"/>
        <v>521793.41285679408</v>
      </c>
      <c r="AP61" s="76"/>
    </row>
    <row r="62" spans="1:42" ht="15" customHeight="1" x14ac:dyDescent="0.3">
      <c r="B62" s="78" t="s">
        <v>164</v>
      </c>
      <c r="C62" s="103">
        <v>3000</v>
      </c>
      <c r="D62" s="103"/>
      <c r="E62" s="112"/>
      <c r="F62" s="112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76"/>
    </row>
    <row r="63" spans="1:42" ht="15" customHeight="1" x14ac:dyDescent="0.3">
      <c r="B63" s="78" t="s">
        <v>249</v>
      </c>
      <c r="C63" s="103"/>
      <c r="D63" s="103"/>
      <c r="E63" s="112"/>
      <c r="F63" s="112">
        <v>38000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76"/>
    </row>
    <row r="64" spans="1:42" ht="15" customHeight="1" x14ac:dyDescent="0.3">
      <c r="B64" s="78" t="s">
        <v>181</v>
      </c>
      <c r="C64" s="103"/>
      <c r="D64" s="103"/>
      <c r="E64" s="112"/>
      <c r="F64" s="112"/>
      <c r="G64" s="103"/>
      <c r="H64" s="103">
        <v>24000</v>
      </c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76"/>
    </row>
    <row r="65" spans="1:41" x14ac:dyDescent="0.3">
      <c r="B65" s="74" t="s">
        <v>149</v>
      </c>
      <c r="C65" s="103"/>
      <c r="D65" s="103"/>
      <c r="E65" s="112"/>
      <c r="F65" s="112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</row>
    <row r="66" spans="1:41" x14ac:dyDescent="0.3">
      <c r="C66" s="103"/>
      <c r="D66" s="103"/>
      <c r="E66" s="112"/>
      <c r="F66" s="112"/>
      <c r="G66" s="103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</row>
    <row r="67" spans="1:41" x14ac:dyDescent="0.3">
      <c r="E67" s="108"/>
      <c r="F67" s="108"/>
    </row>
    <row r="68" spans="1:41" x14ac:dyDescent="0.3">
      <c r="A68" s="80"/>
      <c r="B68" s="80" t="s">
        <v>169</v>
      </c>
      <c r="C68" s="80">
        <v>45962</v>
      </c>
      <c r="D68" s="80">
        <v>45962</v>
      </c>
      <c r="E68" s="80">
        <v>45992</v>
      </c>
      <c r="F68" s="80">
        <v>46023</v>
      </c>
      <c r="G68" s="80">
        <v>46054</v>
      </c>
      <c r="H68" s="80">
        <v>46082</v>
      </c>
      <c r="I68" s="80">
        <v>46113</v>
      </c>
      <c r="J68" s="80">
        <v>46143</v>
      </c>
      <c r="K68" s="80">
        <v>46174</v>
      </c>
      <c r="L68" s="80">
        <v>46204</v>
      </c>
      <c r="M68" s="80">
        <v>46235</v>
      </c>
      <c r="N68" s="80">
        <v>46266</v>
      </c>
      <c r="O68" s="80">
        <v>46296</v>
      </c>
      <c r="P68" s="80">
        <v>46327</v>
      </c>
      <c r="Q68" s="80">
        <v>46357</v>
      </c>
      <c r="R68" s="80">
        <v>46388</v>
      </c>
      <c r="S68" s="80">
        <v>46419</v>
      </c>
      <c r="T68" s="80">
        <v>46447</v>
      </c>
      <c r="U68" s="80">
        <v>46478</v>
      </c>
      <c r="V68" s="80">
        <v>46508</v>
      </c>
      <c r="W68" s="80">
        <v>46539</v>
      </c>
      <c r="X68" s="80">
        <v>46569</v>
      </c>
      <c r="Y68" s="80">
        <v>46600</v>
      </c>
      <c r="Z68" s="80">
        <v>46631</v>
      </c>
      <c r="AA68" s="80">
        <v>46661</v>
      </c>
      <c r="AB68" s="80">
        <v>46692</v>
      </c>
      <c r="AC68" s="80">
        <v>46722</v>
      </c>
      <c r="AD68" s="80">
        <v>46753</v>
      </c>
      <c r="AE68" s="80">
        <v>46784</v>
      </c>
      <c r="AF68" s="80">
        <v>46813</v>
      </c>
      <c r="AG68" s="80">
        <v>46844</v>
      </c>
      <c r="AH68" s="80">
        <v>46874</v>
      </c>
      <c r="AI68" s="80">
        <v>46905</v>
      </c>
      <c r="AJ68" s="80">
        <v>46935</v>
      </c>
      <c r="AK68" s="80">
        <v>46966</v>
      </c>
      <c r="AL68" s="80">
        <v>46997</v>
      </c>
      <c r="AM68" s="80">
        <v>47027</v>
      </c>
      <c r="AN68" s="80">
        <v>47058</v>
      </c>
      <c r="AO68" s="80">
        <v>47088</v>
      </c>
    </row>
    <row r="69" spans="1:41" x14ac:dyDescent="0.3">
      <c r="B69" s="74" t="s">
        <v>147</v>
      </c>
      <c r="C69" s="81">
        <v>0</v>
      </c>
      <c r="D69" s="81">
        <v>0</v>
      </c>
      <c r="E69" s="81">
        <v>0</v>
      </c>
      <c r="F69" s="81">
        <v>0</v>
      </c>
      <c r="G69" s="81">
        <v>0</v>
      </c>
      <c r="H69" s="82">
        <v>7</v>
      </c>
      <c r="I69" s="82">
        <v>20</v>
      </c>
      <c r="J69" s="82">
        <v>20</v>
      </c>
      <c r="K69" s="82">
        <v>25</v>
      </c>
      <c r="L69" s="82">
        <v>25</v>
      </c>
      <c r="M69" s="82">
        <v>12</v>
      </c>
      <c r="N69" s="82">
        <v>35</v>
      </c>
      <c r="O69" s="82">
        <v>40</v>
      </c>
      <c r="P69" s="82">
        <f>O69*1.075</f>
        <v>43</v>
      </c>
      <c r="Q69" s="82">
        <f t="shared" ref="Q69:Z69" si="32">P69*1.075</f>
        <v>46.225000000000001</v>
      </c>
      <c r="R69" s="82">
        <f t="shared" si="32"/>
        <v>49.691874999999996</v>
      </c>
      <c r="S69" s="82">
        <f t="shared" si="32"/>
        <v>53.418765624999992</v>
      </c>
      <c r="T69" s="82">
        <f t="shared" si="32"/>
        <v>57.425173046874988</v>
      </c>
      <c r="U69" s="82">
        <f t="shared" si="32"/>
        <v>61.732061025390607</v>
      </c>
      <c r="V69" s="82">
        <f t="shared" si="32"/>
        <v>66.361965602294902</v>
      </c>
      <c r="W69" s="82">
        <f t="shared" si="32"/>
        <v>71.339113022467018</v>
      </c>
      <c r="X69" s="82">
        <f t="shared" si="32"/>
        <v>76.689546499152044</v>
      </c>
      <c r="Y69" s="82">
        <f t="shared" si="32"/>
        <v>82.441262486588442</v>
      </c>
      <c r="Z69" s="82">
        <f t="shared" si="32"/>
        <v>88.624357173082572</v>
      </c>
      <c r="AA69" s="82">
        <v>150</v>
      </c>
      <c r="AB69" s="82">
        <v>150</v>
      </c>
      <c r="AC69" s="82">
        <v>150</v>
      </c>
      <c r="AD69" s="82">
        <v>150</v>
      </c>
      <c r="AE69" s="82">
        <v>150</v>
      </c>
      <c r="AF69" s="82">
        <v>150</v>
      </c>
      <c r="AG69" s="82">
        <v>150</v>
      </c>
      <c r="AH69" s="82">
        <v>150</v>
      </c>
      <c r="AI69" s="82">
        <v>150</v>
      </c>
      <c r="AJ69" s="82">
        <v>150</v>
      </c>
      <c r="AK69" s="82">
        <v>150</v>
      </c>
      <c r="AL69" s="82">
        <v>150</v>
      </c>
      <c r="AM69" s="82">
        <v>150</v>
      </c>
      <c r="AN69" s="82">
        <v>150</v>
      </c>
      <c r="AO69" s="82">
        <v>150</v>
      </c>
    </row>
    <row r="70" spans="1:41" x14ac:dyDescent="0.3">
      <c r="B70" s="32" t="s">
        <v>278</v>
      </c>
      <c r="C70" s="81">
        <v>0</v>
      </c>
      <c r="D70" s="81">
        <v>0</v>
      </c>
      <c r="E70" s="81">
        <v>0</v>
      </c>
      <c r="F70" s="81">
        <v>0</v>
      </c>
      <c r="G70" s="81">
        <v>2</v>
      </c>
      <c r="H70" s="82">
        <v>2</v>
      </c>
      <c r="I70" s="82">
        <v>2</v>
      </c>
      <c r="J70" s="82">
        <v>2</v>
      </c>
      <c r="K70" s="82">
        <v>2</v>
      </c>
      <c r="L70" s="82">
        <v>2</v>
      </c>
      <c r="M70" s="82">
        <v>2</v>
      </c>
      <c r="N70" s="82">
        <v>2</v>
      </c>
      <c r="O70" s="82">
        <v>2</v>
      </c>
      <c r="P70" s="82">
        <v>2</v>
      </c>
      <c r="Q70" s="82">
        <v>2</v>
      </c>
      <c r="R70" s="82">
        <v>2</v>
      </c>
      <c r="S70" s="82">
        <v>2</v>
      </c>
      <c r="T70" s="82">
        <v>2</v>
      </c>
      <c r="U70" s="82">
        <v>2</v>
      </c>
      <c r="V70" s="82">
        <v>2</v>
      </c>
      <c r="W70" s="82">
        <v>2</v>
      </c>
      <c r="X70" s="82">
        <v>2</v>
      </c>
      <c r="Y70" s="82">
        <v>2</v>
      </c>
      <c r="Z70" s="82">
        <v>2</v>
      </c>
      <c r="AA70" s="82">
        <v>2</v>
      </c>
      <c r="AB70" s="82">
        <v>2</v>
      </c>
      <c r="AC70" s="82">
        <v>2</v>
      </c>
      <c r="AD70" s="82">
        <v>2</v>
      </c>
      <c r="AE70" s="82">
        <v>2</v>
      </c>
      <c r="AF70" s="82">
        <v>2</v>
      </c>
      <c r="AG70" s="82">
        <v>2</v>
      </c>
      <c r="AH70" s="82">
        <v>2</v>
      </c>
      <c r="AI70" s="82">
        <v>2</v>
      </c>
      <c r="AJ70" s="82">
        <v>2</v>
      </c>
      <c r="AK70" s="82">
        <v>2</v>
      </c>
      <c r="AL70" s="82">
        <v>2</v>
      </c>
      <c r="AM70" s="82">
        <v>2</v>
      </c>
      <c r="AN70" s="82">
        <v>2</v>
      </c>
      <c r="AO70" s="82">
        <v>2</v>
      </c>
    </row>
    <row r="71" spans="1:41" x14ac:dyDescent="0.3">
      <c r="B71" s="74" t="s">
        <v>148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2">
        <v>2</v>
      </c>
      <c r="I71" s="82">
        <v>5</v>
      </c>
      <c r="J71" s="82">
        <v>20</v>
      </c>
      <c r="K71" s="82">
        <v>25</v>
      </c>
      <c r="L71" s="82">
        <v>25</v>
      </c>
      <c r="M71" s="82">
        <v>12</v>
      </c>
      <c r="N71" s="82">
        <v>30</v>
      </c>
      <c r="O71" s="82">
        <v>35</v>
      </c>
      <c r="P71" s="82">
        <f>O71*1.05</f>
        <v>36.75</v>
      </c>
      <c r="Q71" s="82">
        <f t="shared" ref="Q71:Z71" si="33">P71*1.05</f>
        <v>38.587499999999999</v>
      </c>
      <c r="R71" s="82">
        <f t="shared" si="33"/>
        <v>40.516874999999999</v>
      </c>
      <c r="S71" s="82">
        <f t="shared" si="33"/>
        <v>42.542718749999999</v>
      </c>
      <c r="T71" s="82">
        <f t="shared" si="33"/>
        <v>44.669854687499999</v>
      </c>
      <c r="U71" s="82">
        <f t="shared" si="33"/>
        <v>46.903347421875004</v>
      </c>
      <c r="V71" s="82">
        <f t="shared" si="33"/>
        <v>49.248514792968756</v>
      </c>
      <c r="W71" s="82">
        <f t="shared" si="33"/>
        <v>51.710940532617194</v>
      </c>
      <c r="X71" s="82">
        <f t="shared" si="33"/>
        <v>54.296487559248057</v>
      </c>
      <c r="Y71" s="82">
        <f t="shared" si="33"/>
        <v>57.011311937210465</v>
      </c>
      <c r="Z71" s="82">
        <f t="shared" si="33"/>
        <v>59.861877534070992</v>
      </c>
      <c r="AA71" s="82">
        <v>64</v>
      </c>
      <c r="AB71" s="82">
        <v>65</v>
      </c>
      <c r="AC71" s="82">
        <v>65</v>
      </c>
      <c r="AD71" s="82">
        <v>65</v>
      </c>
      <c r="AE71" s="82">
        <v>65</v>
      </c>
      <c r="AF71" s="82">
        <v>65</v>
      </c>
      <c r="AG71" s="82">
        <v>65</v>
      </c>
      <c r="AH71" s="82">
        <v>65</v>
      </c>
      <c r="AI71" s="82">
        <v>65</v>
      </c>
      <c r="AJ71" s="82">
        <v>65</v>
      </c>
      <c r="AK71" s="82">
        <v>65</v>
      </c>
      <c r="AL71" s="82">
        <v>65</v>
      </c>
      <c r="AM71" s="82">
        <v>65</v>
      </c>
      <c r="AN71" s="82">
        <v>65</v>
      </c>
      <c r="AO71" s="82">
        <v>65</v>
      </c>
    </row>
    <row r="72" spans="1:41" x14ac:dyDescent="0.3">
      <c r="B72" s="74" t="s">
        <v>180</v>
      </c>
      <c r="C72" s="81">
        <v>0</v>
      </c>
      <c r="D72" s="81">
        <v>0</v>
      </c>
      <c r="E72" s="81">
        <v>0</v>
      </c>
      <c r="F72" s="81">
        <v>0</v>
      </c>
      <c r="G72" s="81">
        <v>0</v>
      </c>
      <c r="H72" s="82">
        <v>0</v>
      </c>
      <c r="I72" s="82">
        <v>0</v>
      </c>
      <c r="J72" s="82">
        <v>0</v>
      </c>
      <c r="K72" s="82">
        <v>0</v>
      </c>
      <c r="L72" s="82">
        <v>0</v>
      </c>
      <c r="M72" s="82">
        <v>0</v>
      </c>
      <c r="N72" s="82">
        <v>0</v>
      </c>
      <c r="O72" s="82">
        <v>0</v>
      </c>
      <c r="P72" s="82">
        <v>0</v>
      </c>
      <c r="Q72" s="82">
        <v>0</v>
      </c>
      <c r="R72" s="82">
        <v>0</v>
      </c>
      <c r="S72" s="82">
        <v>0</v>
      </c>
      <c r="T72" s="82">
        <v>0</v>
      </c>
      <c r="U72" s="82">
        <v>0</v>
      </c>
      <c r="V72" s="82">
        <v>0</v>
      </c>
      <c r="W72" s="82">
        <v>0</v>
      </c>
      <c r="X72" s="82">
        <v>0</v>
      </c>
      <c r="Y72" s="82">
        <v>0</v>
      </c>
      <c r="Z72" s="82">
        <v>0</v>
      </c>
      <c r="AA72" s="82">
        <v>0</v>
      </c>
      <c r="AB72" s="82">
        <v>0</v>
      </c>
      <c r="AC72" s="82">
        <v>0</v>
      </c>
      <c r="AD72" s="82">
        <v>0</v>
      </c>
      <c r="AE72" s="82">
        <v>0</v>
      </c>
      <c r="AF72" s="82">
        <v>0</v>
      </c>
      <c r="AG72" s="82">
        <v>0</v>
      </c>
      <c r="AH72" s="82">
        <v>0</v>
      </c>
      <c r="AI72" s="82">
        <v>0</v>
      </c>
      <c r="AJ72" s="82">
        <v>0</v>
      </c>
      <c r="AK72" s="82">
        <v>0</v>
      </c>
      <c r="AL72" s="82">
        <v>0</v>
      </c>
      <c r="AM72" s="82">
        <v>0</v>
      </c>
      <c r="AN72" s="82">
        <v>0</v>
      </c>
      <c r="AO72" s="82">
        <v>0</v>
      </c>
    </row>
    <row r="73" spans="1:41" x14ac:dyDescent="0.3">
      <c r="B73" s="74" t="s">
        <v>177</v>
      </c>
      <c r="C73" s="81">
        <v>0</v>
      </c>
      <c r="D73" s="81">
        <v>0</v>
      </c>
      <c r="E73" s="81">
        <v>0</v>
      </c>
      <c r="F73" s="81">
        <v>0</v>
      </c>
      <c r="G73" s="81">
        <v>0</v>
      </c>
      <c r="H73" s="82">
        <v>0</v>
      </c>
      <c r="I73" s="82">
        <v>2</v>
      </c>
      <c r="J73" s="82">
        <v>5</v>
      </c>
      <c r="K73" s="82">
        <v>5</v>
      </c>
      <c r="L73" s="82">
        <v>5</v>
      </c>
      <c r="M73" s="82">
        <v>0</v>
      </c>
      <c r="N73" s="82">
        <v>5</v>
      </c>
      <c r="O73" s="82">
        <v>5</v>
      </c>
      <c r="P73" s="82">
        <v>5</v>
      </c>
      <c r="Q73" s="82">
        <v>5</v>
      </c>
      <c r="R73" s="82">
        <v>5</v>
      </c>
      <c r="S73" s="82">
        <v>5</v>
      </c>
      <c r="T73" s="82">
        <v>5</v>
      </c>
      <c r="U73" s="82">
        <v>5</v>
      </c>
      <c r="V73" s="82">
        <v>5</v>
      </c>
      <c r="W73" s="82">
        <v>5</v>
      </c>
      <c r="X73" s="82">
        <v>5</v>
      </c>
      <c r="Y73" s="82">
        <v>5</v>
      </c>
      <c r="Z73" s="82">
        <v>5</v>
      </c>
      <c r="AA73" s="82">
        <v>5</v>
      </c>
      <c r="AB73" s="82">
        <v>5</v>
      </c>
      <c r="AC73" s="82">
        <v>5</v>
      </c>
      <c r="AD73" s="82">
        <v>5</v>
      </c>
      <c r="AE73" s="82">
        <v>5</v>
      </c>
      <c r="AF73" s="82">
        <v>5</v>
      </c>
      <c r="AG73" s="82">
        <v>5</v>
      </c>
      <c r="AH73" s="82">
        <v>5</v>
      </c>
      <c r="AI73" s="82">
        <v>5</v>
      </c>
      <c r="AJ73" s="82">
        <v>5</v>
      </c>
      <c r="AK73" s="82">
        <v>5</v>
      </c>
      <c r="AL73" s="82">
        <v>5</v>
      </c>
      <c r="AM73" s="82">
        <v>5</v>
      </c>
      <c r="AN73" s="82">
        <v>5</v>
      </c>
      <c r="AO73" s="82">
        <v>5</v>
      </c>
    </row>
    <row r="74" spans="1:41" x14ac:dyDescent="0.3">
      <c r="B74" s="74" t="s">
        <v>178</v>
      </c>
      <c r="C74" s="81">
        <v>0</v>
      </c>
      <c r="D74" s="81">
        <v>0</v>
      </c>
      <c r="E74" s="81">
        <v>0</v>
      </c>
      <c r="F74" s="81">
        <v>0</v>
      </c>
      <c r="G74" s="81">
        <v>0</v>
      </c>
      <c r="H74" s="82">
        <v>0</v>
      </c>
      <c r="I74" s="82">
        <v>2</v>
      </c>
      <c r="J74" s="82">
        <v>2</v>
      </c>
      <c r="K74" s="82">
        <v>2</v>
      </c>
      <c r="L74" s="82">
        <v>2</v>
      </c>
      <c r="M74" s="82">
        <v>0</v>
      </c>
      <c r="N74" s="82">
        <v>2</v>
      </c>
      <c r="O74" s="82">
        <v>2</v>
      </c>
      <c r="P74" s="82">
        <v>2</v>
      </c>
      <c r="Q74" s="82">
        <v>2</v>
      </c>
      <c r="R74" s="82">
        <v>2</v>
      </c>
      <c r="S74" s="82">
        <v>2</v>
      </c>
      <c r="T74" s="82">
        <v>2</v>
      </c>
      <c r="U74" s="82">
        <v>2</v>
      </c>
      <c r="V74" s="82">
        <v>2</v>
      </c>
      <c r="W74" s="82">
        <v>2</v>
      </c>
      <c r="X74" s="82">
        <v>2</v>
      </c>
      <c r="Y74" s="82">
        <v>2</v>
      </c>
      <c r="Z74" s="82">
        <v>2</v>
      </c>
      <c r="AA74" s="82">
        <v>2</v>
      </c>
      <c r="AB74" s="82">
        <v>2</v>
      </c>
      <c r="AC74" s="82">
        <v>2</v>
      </c>
      <c r="AD74" s="82">
        <v>2</v>
      </c>
      <c r="AE74" s="82">
        <v>2</v>
      </c>
      <c r="AF74" s="82">
        <v>2</v>
      </c>
      <c r="AG74" s="82">
        <v>2</v>
      </c>
      <c r="AH74" s="82">
        <v>2</v>
      </c>
      <c r="AI74" s="82">
        <v>2</v>
      </c>
      <c r="AJ74" s="82">
        <v>2</v>
      </c>
      <c r="AK74" s="82">
        <v>2</v>
      </c>
      <c r="AL74" s="82">
        <v>2</v>
      </c>
      <c r="AM74" s="82">
        <v>2</v>
      </c>
      <c r="AN74" s="82">
        <v>2</v>
      </c>
      <c r="AO74" s="82">
        <v>2</v>
      </c>
    </row>
    <row r="75" spans="1:41" x14ac:dyDescent="0.3">
      <c r="B75" s="74" t="s">
        <v>161</v>
      </c>
      <c r="C75" s="81">
        <v>0</v>
      </c>
      <c r="D75" s="81">
        <v>0</v>
      </c>
      <c r="E75" s="81">
        <v>0</v>
      </c>
      <c r="F75" s="81">
        <v>0</v>
      </c>
      <c r="G75" s="81">
        <v>0</v>
      </c>
      <c r="H75" s="82">
        <v>0</v>
      </c>
      <c r="I75" s="82">
        <v>5</v>
      </c>
      <c r="J75" s="82">
        <v>5</v>
      </c>
      <c r="K75" s="82">
        <v>5</v>
      </c>
      <c r="L75" s="82">
        <v>5</v>
      </c>
      <c r="M75" s="82">
        <v>0</v>
      </c>
      <c r="N75" s="82">
        <v>5</v>
      </c>
      <c r="O75" s="82">
        <v>10</v>
      </c>
      <c r="P75" s="82">
        <v>10</v>
      </c>
      <c r="Q75" s="82">
        <v>10</v>
      </c>
      <c r="R75" s="82">
        <v>10</v>
      </c>
      <c r="S75" s="82">
        <v>10</v>
      </c>
      <c r="T75" s="82">
        <v>10</v>
      </c>
      <c r="U75" s="82">
        <v>10</v>
      </c>
      <c r="V75" s="82">
        <v>10</v>
      </c>
      <c r="W75" s="82">
        <v>10</v>
      </c>
      <c r="X75" s="82">
        <v>10</v>
      </c>
      <c r="Y75" s="82">
        <v>10</v>
      </c>
      <c r="Z75" s="82">
        <v>10</v>
      </c>
      <c r="AA75" s="82">
        <v>10</v>
      </c>
      <c r="AB75" s="82">
        <v>10</v>
      </c>
      <c r="AC75" s="82">
        <v>10</v>
      </c>
      <c r="AD75" s="82">
        <v>15</v>
      </c>
      <c r="AE75" s="82">
        <v>15</v>
      </c>
      <c r="AF75" s="82">
        <v>15</v>
      </c>
      <c r="AG75" s="82">
        <v>15</v>
      </c>
      <c r="AH75" s="82">
        <v>15</v>
      </c>
      <c r="AI75" s="82">
        <v>15</v>
      </c>
      <c r="AJ75" s="82">
        <v>15</v>
      </c>
      <c r="AK75" s="82">
        <v>15</v>
      </c>
      <c r="AL75" s="82">
        <v>15</v>
      </c>
      <c r="AM75" s="82">
        <v>15</v>
      </c>
      <c r="AN75" s="82">
        <v>15</v>
      </c>
      <c r="AO75" s="82">
        <v>15</v>
      </c>
    </row>
    <row r="76" spans="1:41" x14ac:dyDescent="0.3">
      <c r="B76" s="74" t="s">
        <v>176</v>
      </c>
      <c r="C76" s="81">
        <v>0</v>
      </c>
      <c r="D76" s="81">
        <v>0</v>
      </c>
      <c r="E76" s="81">
        <v>0</v>
      </c>
      <c r="F76" s="81">
        <v>0</v>
      </c>
      <c r="G76" s="81">
        <v>35</v>
      </c>
      <c r="H76" s="81">
        <v>31</v>
      </c>
      <c r="I76" s="81">
        <v>20</v>
      </c>
      <c r="J76" s="81">
        <v>15</v>
      </c>
      <c r="K76" s="81">
        <v>15</v>
      </c>
      <c r="L76" s="81">
        <v>5</v>
      </c>
      <c r="M76" s="81">
        <v>0</v>
      </c>
      <c r="N76" s="81">
        <v>5</v>
      </c>
      <c r="O76" s="81">
        <v>5</v>
      </c>
      <c r="P76" s="81">
        <v>5</v>
      </c>
      <c r="Q76" s="81">
        <v>5</v>
      </c>
      <c r="R76" s="81">
        <v>5</v>
      </c>
      <c r="S76" s="81">
        <v>5</v>
      </c>
      <c r="T76" s="81">
        <v>5</v>
      </c>
      <c r="U76" s="81">
        <v>5</v>
      </c>
      <c r="V76" s="81">
        <v>5</v>
      </c>
      <c r="W76" s="81">
        <v>5</v>
      </c>
      <c r="X76" s="81">
        <v>5</v>
      </c>
      <c r="Y76" s="81">
        <v>5</v>
      </c>
      <c r="Z76" s="81">
        <v>5</v>
      </c>
      <c r="AA76" s="81">
        <v>5</v>
      </c>
      <c r="AB76" s="81">
        <v>5</v>
      </c>
      <c r="AC76" s="81">
        <v>5</v>
      </c>
      <c r="AD76" s="81">
        <v>5</v>
      </c>
      <c r="AE76" s="81">
        <v>5</v>
      </c>
      <c r="AF76" s="81">
        <v>5</v>
      </c>
      <c r="AG76" s="81">
        <v>5</v>
      </c>
      <c r="AH76" s="81">
        <v>5</v>
      </c>
      <c r="AI76" s="81">
        <v>5</v>
      </c>
      <c r="AJ76" s="81">
        <v>5</v>
      </c>
      <c r="AK76" s="81">
        <v>5</v>
      </c>
      <c r="AL76" s="81">
        <v>5</v>
      </c>
      <c r="AM76" s="81">
        <v>5</v>
      </c>
      <c r="AN76" s="81">
        <v>5</v>
      </c>
      <c r="AO76" s="81">
        <v>5</v>
      </c>
    </row>
    <row r="77" spans="1:41" x14ac:dyDescent="0.3">
      <c r="B77" s="32" t="s">
        <v>280</v>
      </c>
      <c r="C77" s="81">
        <v>0</v>
      </c>
      <c r="D77" s="81">
        <v>0</v>
      </c>
      <c r="E77" s="81">
        <v>0</v>
      </c>
      <c r="F77" s="81">
        <v>0</v>
      </c>
      <c r="G77" s="81">
        <v>9</v>
      </c>
      <c r="H77" s="81">
        <v>0</v>
      </c>
      <c r="I77" s="81">
        <v>0</v>
      </c>
      <c r="J77" s="81">
        <v>0</v>
      </c>
      <c r="K77" s="81">
        <v>0</v>
      </c>
      <c r="L77" s="81">
        <v>0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  <c r="S77" s="81">
        <v>0</v>
      </c>
      <c r="T77" s="81">
        <v>0</v>
      </c>
      <c r="U77" s="81">
        <v>0</v>
      </c>
      <c r="V77" s="81">
        <v>0</v>
      </c>
      <c r="W77" s="81">
        <v>0</v>
      </c>
      <c r="X77" s="81">
        <v>0</v>
      </c>
      <c r="Y77" s="81">
        <v>0</v>
      </c>
      <c r="Z77" s="81">
        <v>0</v>
      </c>
      <c r="AA77" s="81">
        <v>0</v>
      </c>
      <c r="AB77" s="81">
        <v>0</v>
      </c>
      <c r="AC77" s="81">
        <v>0</v>
      </c>
      <c r="AD77" s="81">
        <v>0</v>
      </c>
      <c r="AE77" s="81">
        <v>0</v>
      </c>
      <c r="AF77" s="81">
        <v>0</v>
      </c>
      <c r="AG77" s="81">
        <v>0</v>
      </c>
      <c r="AH77" s="81">
        <v>0</v>
      </c>
      <c r="AI77" s="81">
        <v>0</v>
      </c>
      <c r="AJ77" s="81">
        <v>0</v>
      </c>
      <c r="AK77" s="81">
        <v>0</v>
      </c>
      <c r="AL77" s="81">
        <v>0</v>
      </c>
      <c r="AM77" s="81">
        <v>0</v>
      </c>
      <c r="AN77" s="81">
        <v>0</v>
      </c>
      <c r="AO77" s="81">
        <v>0</v>
      </c>
    </row>
    <row r="79" spans="1:41" x14ac:dyDescent="0.3">
      <c r="A79" s="80"/>
      <c r="B79" s="80" t="s">
        <v>202</v>
      </c>
      <c r="C79" s="98">
        <f>(C69*4)+(C70*4)+(C71*8)+(C72*12)+(C73*4)+(C74*8)+C75+(C76*2)+(C77*1)</f>
        <v>0</v>
      </c>
      <c r="D79" s="98">
        <f>(D69*4)+(D70*4)+(D71*8)+(D72*12)+(D73*4)+(D74*8)+D75+(D76*2)+(D77*1)</f>
        <v>0</v>
      </c>
      <c r="E79" s="98">
        <f>(E69*4)+(E70*4)+(E71*8)+(E72*12)+(E73*4)+(E74*8)+E75+(E76*2)+(E77*1)</f>
        <v>0</v>
      </c>
      <c r="F79" s="98">
        <f>(F69*4)+(F70*4)+(F71*8)+(F72*12)+(F73*4)+(F74*8)+F75+(F76*2)+(F77*1)</f>
        <v>0</v>
      </c>
      <c r="G79" s="98">
        <f>(G69*4)+(G70*4)+(G71*8)+(G72*12)+(G73*4)+(G74*8)+G75+(G76*2)+(G77*1)</f>
        <v>87</v>
      </c>
      <c r="H79" s="98">
        <f t="shared" ref="H79:AO79" si="34">(H69*4)+(H70*4)+(H71*8)+(H72*12)+(H73*4)+(H74*8)+H75+(H76*2)+(H77*1)</f>
        <v>114</v>
      </c>
      <c r="I79" s="98">
        <f t="shared" si="34"/>
        <v>197</v>
      </c>
      <c r="J79" s="98">
        <f t="shared" si="34"/>
        <v>319</v>
      </c>
      <c r="K79" s="98">
        <f t="shared" si="34"/>
        <v>379</v>
      </c>
      <c r="L79" s="98">
        <f t="shared" si="34"/>
        <v>359</v>
      </c>
      <c r="M79" s="98">
        <f t="shared" si="34"/>
        <v>152</v>
      </c>
      <c r="N79" s="98">
        <f t="shared" si="34"/>
        <v>439</v>
      </c>
      <c r="O79" s="98">
        <f t="shared" si="34"/>
        <v>504</v>
      </c>
      <c r="P79" s="98">
        <f t="shared" si="34"/>
        <v>530</v>
      </c>
      <c r="Q79" s="98">
        <f t="shared" si="34"/>
        <v>557.6</v>
      </c>
      <c r="R79" s="98">
        <f t="shared" si="34"/>
        <v>586.90249999999992</v>
      </c>
      <c r="S79" s="98">
        <f t="shared" si="34"/>
        <v>618.01681250000001</v>
      </c>
      <c r="T79" s="98">
        <f t="shared" si="34"/>
        <v>651.05952968749989</v>
      </c>
      <c r="U79" s="98">
        <f t="shared" si="34"/>
        <v>686.15502347656252</v>
      </c>
      <c r="V79" s="98">
        <f t="shared" si="34"/>
        <v>723.43598075292971</v>
      </c>
      <c r="W79" s="98">
        <f t="shared" si="34"/>
        <v>763.04397635080568</v>
      </c>
      <c r="X79" s="98">
        <f t="shared" si="34"/>
        <v>805.13008647059269</v>
      </c>
      <c r="Y79" s="98">
        <f t="shared" si="34"/>
        <v>849.85554544403749</v>
      </c>
      <c r="Z79" s="98">
        <f t="shared" si="34"/>
        <v>897.39244896489822</v>
      </c>
      <c r="AA79" s="98">
        <f t="shared" si="34"/>
        <v>1176</v>
      </c>
      <c r="AB79" s="98">
        <f t="shared" si="34"/>
        <v>1184</v>
      </c>
      <c r="AC79" s="98">
        <f t="shared" si="34"/>
        <v>1184</v>
      </c>
      <c r="AD79" s="98">
        <f t="shared" si="34"/>
        <v>1189</v>
      </c>
      <c r="AE79" s="98">
        <f t="shared" si="34"/>
        <v>1189</v>
      </c>
      <c r="AF79" s="98">
        <f t="shared" si="34"/>
        <v>1189</v>
      </c>
      <c r="AG79" s="98">
        <f t="shared" si="34"/>
        <v>1189</v>
      </c>
      <c r="AH79" s="98">
        <f t="shared" si="34"/>
        <v>1189</v>
      </c>
      <c r="AI79" s="98">
        <f t="shared" si="34"/>
        <v>1189</v>
      </c>
      <c r="AJ79" s="98">
        <f t="shared" si="34"/>
        <v>1189</v>
      </c>
      <c r="AK79" s="98">
        <f t="shared" si="34"/>
        <v>1189</v>
      </c>
      <c r="AL79" s="98">
        <f t="shared" si="34"/>
        <v>1189</v>
      </c>
      <c r="AM79" s="98">
        <f t="shared" si="34"/>
        <v>1189</v>
      </c>
      <c r="AN79" s="98">
        <f t="shared" si="34"/>
        <v>1189</v>
      </c>
      <c r="AO79" s="98">
        <f t="shared" si="34"/>
        <v>1189</v>
      </c>
    </row>
    <row r="80" spans="1:41" x14ac:dyDescent="0.3">
      <c r="B80" s="32" t="s">
        <v>282</v>
      </c>
      <c r="C80" s="97">
        <v>1</v>
      </c>
      <c r="D80" s="97">
        <v>1</v>
      </c>
      <c r="E80" s="97">
        <v>1</v>
      </c>
      <c r="F80" s="97">
        <v>1</v>
      </c>
      <c r="G80" s="97">
        <f>G79/640</f>
        <v>0.13593749999999999</v>
      </c>
      <c r="H80" s="97">
        <f t="shared" ref="H80:AO80" si="35">H79/640</f>
        <v>0.17812500000000001</v>
      </c>
      <c r="I80" s="97">
        <f t="shared" si="35"/>
        <v>0.30781249999999999</v>
      </c>
      <c r="J80" s="97">
        <f t="shared" si="35"/>
        <v>0.49843749999999998</v>
      </c>
      <c r="K80" s="97">
        <f t="shared" si="35"/>
        <v>0.59218749999999998</v>
      </c>
      <c r="L80" s="97">
        <f t="shared" si="35"/>
        <v>0.56093749999999998</v>
      </c>
      <c r="M80" s="97">
        <f t="shared" si="35"/>
        <v>0.23749999999999999</v>
      </c>
      <c r="N80" s="97">
        <f t="shared" si="35"/>
        <v>0.68593749999999998</v>
      </c>
      <c r="O80" s="97">
        <f t="shared" si="35"/>
        <v>0.78749999999999998</v>
      </c>
      <c r="P80" s="97">
        <f t="shared" si="35"/>
        <v>0.828125</v>
      </c>
      <c r="Q80" s="97">
        <f t="shared" si="35"/>
        <v>0.87125000000000008</v>
      </c>
      <c r="R80" s="97">
        <f t="shared" si="35"/>
        <v>0.91703515624999987</v>
      </c>
      <c r="S80" s="97">
        <f t="shared" si="35"/>
        <v>0.96565126953125002</v>
      </c>
      <c r="T80" s="97">
        <f t="shared" si="35"/>
        <v>1.0172805151367186</v>
      </c>
      <c r="U80" s="97">
        <f t="shared" si="35"/>
        <v>1.0721172241821288</v>
      </c>
      <c r="V80" s="97">
        <f t="shared" si="35"/>
        <v>1.1303687199264527</v>
      </c>
      <c r="W80" s="97">
        <f t="shared" si="35"/>
        <v>1.1922562130481338</v>
      </c>
      <c r="X80" s="97">
        <f t="shared" si="35"/>
        <v>1.258015760110301</v>
      </c>
      <c r="Y80" s="97">
        <f t="shared" si="35"/>
        <v>1.3278992897563087</v>
      </c>
      <c r="Z80" s="97">
        <f t="shared" si="35"/>
        <v>1.4021757015076535</v>
      </c>
      <c r="AA80" s="97">
        <f t="shared" si="35"/>
        <v>1.8374999999999999</v>
      </c>
      <c r="AB80" s="97">
        <f t="shared" si="35"/>
        <v>1.85</v>
      </c>
      <c r="AC80" s="97">
        <f t="shared" si="35"/>
        <v>1.85</v>
      </c>
      <c r="AD80" s="97">
        <f t="shared" si="35"/>
        <v>1.8578125000000001</v>
      </c>
      <c r="AE80" s="97">
        <f t="shared" si="35"/>
        <v>1.8578125000000001</v>
      </c>
      <c r="AF80" s="97">
        <f t="shared" si="35"/>
        <v>1.8578125000000001</v>
      </c>
      <c r="AG80" s="97">
        <f t="shared" si="35"/>
        <v>1.8578125000000001</v>
      </c>
      <c r="AH80" s="97">
        <f t="shared" si="35"/>
        <v>1.8578125000000001</v>
      </c>
      <c r="AI80" s="97">
        <f t="shared" si="35"/>
        <v>1.8578125000000001</v>
      </c>
      <c r="AJ80" s="97">
        <f t="shared" si="35"/>
        <v>1.8578125000000001</v>
      </c>
      <c r="AK80" s="97">
        <f t="shared" si="35"/>
        <v>1.8578125000000001</v>
      </c>
      <c r="AL80" s="97">
        <f t="shared" si="35"/>
        <v>1.8578125000000001</v>
      </c>
      <c r="AM80" s="97">
        <f t="shared" si="35"/>
        <v>1.8578125000000001</v>
      </c>
      <c r="AN80" s="97">
        <f t="shared" si="35"/>
        <v>1.8578125000000001</v>
      </c>
      <c r="AO80" s="97">
        <f t="shared" si="35"/>
        <v>1.8578125000000001</v>
      </c>
    </row>
    <row r="81" spans="1:41" x14ac:dyDescent="0.3">
      <c r="B81" s="32" t="s">
        <v>199</v>
      </c>
      <c r="C81" s="97">
        <v>1</v>
      </c>
      <c r="D81" s="97">
        <v>1</v>
      </c>
      <c r="E81" s="97">
        <v>1</v>
      </c>
      <c r="F81" s="97">
        <v>1</v>
      </c>
      <c r="G81" s="97">
        <f>G79/720</f>
        <v>0.12083333333333333</v>
      </c>
      <c r="H81" s="97">
        <f>H79/720</f>
        <v>0.15833333333333333</v>
      </c>
      <c r="I81" s="97">
        <f t="shared" ref="I81:AO81" si="36">I79/720</f>
        <v>0.27361111111111114</v>
      </c>
      <c r="J81" s="97">
        <f t="shared" si="36"/>
        <v>0.44305555555555554</v>
      </c>
      <c r="K81" s="97">
        <f t="shared" si="36"/>
        <v>0.52638888888888891</v>
      </c>
      <c r="L81" s="97">
        <f t="shared" si="36"/>
        <v>0.49861111111111112</v>
      </c>
      <c r="M81" s="97">
        <f t="shared" si="36"/>
        <v>0.21111111111111111</v>
      </c>
      <c r="N81" s="97">
        <f t="shared" si="36"/>
        <v>0.60972222222222228</v>
      </c>
      <c r="O81" s="97">
        <f t="shared" si="36"/>
        <v>0.7</v>
      </c>
      <c r="P81" s="97">
        <f t="shared" si="36"/>
        <v>0.73611111111111116</v>
      </c>
      <c r="Q81" s="97">
        <f t="shared" si="36"/>
        <v>0.77444444444444449</v>
      </c>
      <c r="R81" s="97">
        <f t="shared" si="36"/>
        <v>0.81514236111111105</v>
      </c>
      <c r="S81" s="97">
        <f t="shared" si="36"/>
        <v>0.85835668402777776</v>
      </c>
      <c r="T81" s="97">
        <f t="shared" si="36"/>
        <v>0.90424934678819424</v>
      </c>
      <c r="U81" s="97">
        <f t="shared" si="36"/>
        <v>0.95299308816189243</v>
      </c>
      <c r="V81" s="97">
        <f t="shared" si="36"/>
        <v>1.00477219549018</v>
      </c>
      <c r="W81" s="97">
        <f t="shared" si="36"/>
        <v>1.0597833004872301</v>
      </c>
      <c r="X81" s="97">
        <f t="shared" si="36"/>
        <v>1.1182362312091565</v>
      </c>
      <c r="Y81" s="97">
        <f t="shared" si="36"/>
        <v>1.1803549242278299</v>
      </c>
      <c r="Z81" s="97">
        <f t="shared" si="36"/>
        <v>1.2463784013401364</v>
      </c>
      <c r="AA81" s="97">
        <f t="shared" si="36"/>
        <v>1.6333333333333333</v>
      </c>
      <c r="AB81" s="97">
        <f t="shared" si="36"/>
        <v>1.6444444444444444</v>
      </c>
      <c r="AC81" s="97">
        <f t="shared" si="36"/>
        <v>1.6444444444444444</v>
      </c>
      <c r="AD81" s="97">
        <f t="shared" si="36"/>
        <v>1.6513888888888888</v>
      </c>
      <c r="AE81" s="97">
        <f t="shared" si="36"/>
        <v>1.6513888888888888</v>
      </c>
      <c r="AF81" s="97">
        <f t="shared" si="36"/>
        <v>1.6513888888888888</v>
      </c>
      <c r="AG81" s="97">
        <f t="shared" si="36"/>
        <v>1.6513888888888888</v>
      </c>
      <c r="AH81" s="97">
        <f t="shared" si="36"/>
        <v>1.6513888888888888</v>
      </c>
      <c r="AI81" s="97">
        <f t="shared" si="36"/>
        <v>1.6513888888888888</v>
      </c>
      <c r="AJ81" s="97">
        <f t="shared" si="36"/>
        <v>1.6513888888888888</v>
      </c>
      <c r="AK81" s="97">
        <f t="shared" si="36"/>
        <v>1.6513888888888888</v>
      </c>
      <c r="AL81" s="97">
        <f t="shared" si="36"/>
        <v>1.6513888888888888</v>
      </c>
      <c r="AM81" s="97">
        <f t="shared" si="36"/>
        <v>1.6513888888888888</v>
      </c>
      <c r="AN81" s="97">
        <f t="shared" si="36"/>
        <v>1.6513888888888888</v>
      </c>
      <c r="AO81" s="97">
        <f t="shared" si="36"/>
        <v>1.6513888888888888</v>
      </c>
    </row>
    <row r="82" spans="1:41" x14ac:dyDescent="0.3">
      <c r="B82" s="32" t="s">
        <v>200</v>
      </c>
      <c r="C82" s="97">
        <v>1</v>
      </c>
      <c r="D82" s="97">
        <v>1</v>
      </c>
      <c r="E82" s="97">
        <v>1</v>
      </c>
      <c r="F82" s="97">
        <v>1</v>
      </c>
      <c r="G82" s="97">
        <f>G79/1440</f>
        <v>6.0416666666666667E-2</v>
      </c>
      <c r="H82" s="97">
        <f t="shared" ref="H82:AO82" si="37">H79/1440</f>
        <v>7.9166666666666663E-2</v>
      </c>
      <c r="I82" s="97">
        <f t="shared" si="37"/>
        <v>0.13680555555555557</v>
      </c>
      <c r="J82" s="97">
        <f t="shared" si="37"/>
        <v>0.22152777777777777</v>
      </c>
      <c r="K82" s="97">
        <f t="shared" si="37"/>
        <v>0.26319444444444445</v>
      </c>
      <c r="L82" s="97">
        <f t="shared" si="37"/>
        <v>0.24930555555555556</v>
      </c>
      <c r="M82" s="97">
        <f t="shared" si="37"/>
        <v>0.10555555555555556</v>
      </c>
      <c r="N82" s="97">
        <f t="shared" si="37"/>
        <v>0.30486111111111114</v>
      </c>
      <c r="O82" s="97">
        <f t="shared" si="37"/>
        <v>0.35</v>
      </c>
      <c r="P82" s="97">
        <f t="shared" si="37"/>
        <v>0.36805555555555558</v>
      </c>
      <c r="Q82" s="97">
        <f t="shared" si="37"/>
        <v>0.38722222222222225</v>
      </c>
      <c r="R82" s="97">
        <f t="shared" si="37"/>
        <v>0.40757118055555552</v>
      </c>
      <c r="S82" s="97">
        <f t="shared" si="37"/>
        <v>0.42917834201388888</v>
      </c>
      <c r="T82" s="97">
        <f t="shared" si="37"/>
        <v>0.45212467339409712</v>
      </c>
      <c r="U82" s="97">
        <f t="shared" si="37"/>
        <v>0.47649654408094622</v>
      </c>
      <c r="V82" s="97">
        <f t="shared" si="37"/>
        <v>0.50238609774509002</v>
      </c>
      <c r="W82" s="97">
        <f t="shared" si="37"/>
        <v>0.52989165024361506</v>
      </c>
      <c r="X82" s="97">
        <f t="shared" si="37"/>
        <v>0.55911811560457825</v>
      </c>
      <c r="Y82" s="97">
        <f t="shared" si="37"/>
        <v>0.59017746211391497</v>
      </c>
      <c r="Z82" s="97">
        <f t="shared" si="37"/>
        <v>0.62318920067006822</v>
      </c>
      <c r="AA82" s="97">
        <f t="shared" si="37"/>
        <v>0.81666666666666665</v>
      </c>
      <c r="AB82" s="97">
        <f t="shared" si="37"/>
        <v>0.82222222222222219</v>
      </c>
      <c r="AC82" s="97">
        <f t="shared" si="37"/>
        <v>0.82222222222222219</v>
      </c>
      <c r="AD82" s="97">
        <f t="shared" si="37"/>
        <v>0.8256944444444444</v>
      </c>
      <c r="AE82" s="97">
        <f t="shared" si="37"/>
        <v>0.8256944444444444</v>
      </c>
      <c r="AF82" s="97">
        <f t="shared" si="37"/>
        <v>0.8256944444444444</v>
      </c>
      <c r="AG82" s="97">
        <f t="shared" si="37"/>
        <v>0.8256944444444444</v>
      </c>
      <c r="AH82" s="97">
        <f t="shared" si="37"/>
        <v>0.8256944444444444</v>
      </c>
      <c r="AI82" s="97">
        <f t="shared" si="37"/>
        <v>0.8256944444444444</v>
      </c>
      <c r="AJ82" s="97">
        <f t="shared" si="37"/>
        <v>0.8256944444444444</v>
      </c>
      <c r="AK82" s="97">
        <f t="shared" si="37"/>
        <v>0.8256944444444444</v>
      </c>
      <c r="AL82" s="97">
        <f t="shared" si="37"/>
        <v>0.8256944444444444</v>
      </c>
      <c r="AM82" s="97">
        <f t="shared" si="37"/>
        <v>0.8256944444444444</v>
      </c>
      <c r="AN82" s="97">
        <f t="shared" si="37"/>
        <v>0.8256944444444444</v>
      </c>
      <c r="AO82" s="97">
        <f t="shared" si="37"/>
        <v>0.8256944444444444</v>
      </c>
    </row>
    <row r="85" spans="1:41" x14ac:dyDescent="0.3">
      <c r="A85" s="80"/>
      <c r="B85" s="80" t="s">
        <v>170</v>
      </c>
      <c r="C85" s="99" t="s">
        <v>214</v>
      </c>
      <c r="D85" s="99" t="s">
        <v>214</v>
      </c>
      <c r="E85" s="99" t="s">
        <v>203</v>
      </c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9" t="s">
        <v>215</v>
      </c>
      <c r="S85" s="99" t="s">
        <v>203</v>
      </c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9" t="s">
        <v>216</v>
      </c>
      <c r="AE85" s="99" t="s">
        <v>203</v>
      </c>
      <c r="AF85" s="98"/>
      <c r="AG85" s="98"/>
      <c r="AH85" s="98"/>
      <c r="AI85" s="98"/>
      <c r="AJ85" s="98"/>
      <c r="AK85" s="98"/>
      <c r="AL85" s="98"/>
      <c r="AM85" s="98"/>
      <c r="AN85" s="98"/>
      <c r="AO85" s="98"/>
    </row>
    <row r="86" spans="1:41" x14ac:dyDescent="0.3">
      <c r="B86" s="32" t="s">
        <v>204</v>
      </c>
      <c r="C86" s="33">
        <v>75</v>
      </c>
      <c r="D86" s="33">
        <v>75</v>
      </c>
      <c r="E86" s="38">
        <f>D86/4</f>
        <v>18.75</v>
      </c>
      <c r="R86" s="33">
        <f>D86*1.05</f>
        <v>78.75</v>
      </c>
      <c r="S86" s="38">
        <f>R86/4</f>
        <v>19.6875</v>
      </c>
      <c r="AD86" s="33">
        <f t="shared" ref="AD86:AD91" si="38">R86*1.035</f>
        <v>81.506249999999994</v>
      </c>
      <c r="AE86" s="38">
        <f>AD86/4</f>
        <v>20.376562499999999</v>
      </c>
    </row>
    <row r="87" spans="1:41" x14ac:dyDescent="0.3">
      <c r="B87" s="32" t="s">
        <v>279</v>
      </c>
      <c r="C87" s="33">
        <v>37.5</v>
      </c>
      <c r="D87" s="33">
        <v>37.5</v>
      </c>
      <c r="E87" s="38">
        <f>D87/4</f>
        <v>9.375</v>
      </c>
      <c r="R87" s="33">
        <f t="shared" ref="R87:R95" si="39">D87*1.05</f>
        <v>39.375</v>
      </c>
      <c r="S87" s="38">
        <f>R87/4</f>
        <v>9.84375</v>
      </c>
      <c r="AD87" s="33">
        <f t="shared" si="38"/>
        <v>40.753124999999997</v>
      </c>
      <c r="AE87" s="38">
        <f>AD87/4</f>
        <v>10.188281249999999</v>
      </c>
    </row>
    <row r="88" spans="1:41" x14ac:dyDescent="0.3">
      <c r="B88" s="32" t="s">
        <v>205</v>
      </c>
      <c r="C88" s="33">
        <v>140</v>
      </c>
      <c r="D88" s="33">
        <v>140</v>
      </c>
      <c r="E88" s="38">
        <f>D88/8</f>
        <v>17.5</v>
      </c>
      <c r="R88" s="33">
        <f t="shared" si="39"/>
        <v>147</v>
      </c>
      <c r="S88" s="38">
        <f>R88/8</f>
        <v>18.375</v>
      </c>
      <c r="AD88" s="33">
        <f t="shared" si="38"/>
        <v>152.14499999999998</v>
      </c>
      <c r="AE88" s="38">
        <f>AD88/8</f>
        <v>19.018124999999998</v>
      </c>
    </row>
    <row r="89" spans="1:41" x14ac:dyDescent="0.3">
      <c r="B89" s="32" t="s">
        <v>206</v>
      </c>
      <c r="C89" s="33">
        <v>180</v>
      </c>
      <c r="D89" s="33">
        <v>180</v>
      </c>
      <c r="E89" s="38">
        <f>D89/12</f>
        <v>15</v>
      </c>
      <c r="R89" s="33">
        <f t="shared" si="39"/>
        <v>189</v>
      </c>
      <c r="S89" s="38">
        <f>R89/12</f>
        <v>15.75</v>
      </c>
      <c r="AD89" s="33">
        <f t="shared" si="38"/>
        <v>195.61499999999998</v>
      </c>
      <c r="AE89" s="38">
        <f>AD89/12</f>
        <v>16.30125</v>
      </c>
    </row>
    <row r="90" spans="1:41" x14ac:dyDescent="0.3">
      <c r="B90" s="32" t="s">
        <v>207</v>
      </c>
      <c r="C90" s="33">
        <v>90</v>
      </c>
      <c r="D90" s="33">
        <v>90</v>
      </c>
      <c r="E90" s="38">
        <f>D90/4</f>
        <v>22.5</v>
      </c>
      <c r="R90" s="33">
        <f t="shared" si="39"/>
        <v>94.5</v>
      </c>
      <c r="S90" s="38">
        <f>R90/4</f>
        <v>23.625</v>
      </c>
      <c r="AD90" s="33">
        <f t="shared" si="38"/>
        <v>97.80749999999999</v>
      </c>
      <c r="AE90" s="38">
        <f>AD90/4</f>
        <v>24.451874999999998</v>
      </c>
    </row>
    <row r="91" spans="1:41" x14ac:dyDescent="0.3">
      <c r="B91" s="32" t="s">
        <v>208</v>
      </c>
      <c r="C91" s="33">
        <v>170</v>
      </c>
      <c r="D91" s="33">
        <v>170</v>
      </c>
      <c r="E91" s="38">
        <f>D91/8</f>
        <v>21.25</v>
      </c>
      <c r="R91" s="33">
        <f t="shared" si="39"/>
        <v>178.5</v>
      </c>
      <c r="S91" s="38">
        <f>R91/8</f>
        <v>22.3125</v>
      </c>
      <c r="AD91" s="33">
        <f t="shared" si="38"/>
        <v>184.74749999999997</v>
      </c>
      <c r="AE91" s="38">
        <f>AD91/8</f>
        <v>23.093437499999997</v>
      </c>
    </row>
    <row r="92" spans="1:41" x14ac:dyDescent="0.3">
      <c r="B92" s="32" t="s">
        <v>171</v>
      </c>
      <c r="C92" s="33">
        <v>10</v>
      </c>
      <c r="D92" s="33">
        <v>10</v>
      </c>
      <c r="E92" s="33"/>
      <c r="R92" s="33">
        <v>10</v>
      </c>
      <c r="S92" s="33"/>
      <c r="AD92" s="33">
        <v>10</v>
      </c>
      <c r="AE92" s="33"/>
    </row>
    <row r="93" spans="1:41" x14ac:dyDescent="0.3">
      <c r="B93" s="32" t="s">
        <v>209</v>
      </c>
      <c r="C93" s="79">
        <v>25</v>
      </c>
      <c r="D93" s="79">
        <v>25</v>
      </c>
      <c r="E93" s="79"/>
      <c r="R93" s="33">
        <v>25</v>
      </c>
      <c r="S93" s="79"/>
      <c r="AD93" s="33">
        <v>25</v>
      </c>
      <c r="AE93" s="79"/>
    </row>
    <row r="94" spans="1:41" x14ac:dyDescent="0.3">
      <c r="B94" s="32" t="s">
        <v>281</v>
      </c>
      <c r="C94" s="79">
        <v>10</v>
      </c>
      <c r="D94" s="79">
        <v>10</v>
      </c>
      <c r="E94" s="79"/>
      <c r="R94" s="33">
        <v>10</v>
      </c>
      <c r="S94" s="79"/>
      <c r="AD94" s="33">
        <v>10</v>
      </c>
      <c r="AE94" s="79"/>
    </row>
    <row r="95" spans="1:41" x14ac:dyDescent="0.3">
      <c r="B95" s="74" t="s">
        <v>179</v>
      </c>
      <c r="C95" s="79">
        <v>16</v>
      </c>
      <c r="D95" s="79">
        <v>16</v>
      </c>
      <c r="E95" s="86"/>
      <c r="R95" s="33">
        <f t="shared" si="39"/>
        <v>16.8</v>
      </c>
      <c r="S95" s="86"/>
      <c r="AD95" s="33">
        <f>R95*1.035</f>
        <v>17.387999999999998</v>
      </c>
      <c r="AE95" s="86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CD0F-EBC8-4355-BAF8-585EE755AC63}">
  <dimension ref="B1:H62"/>
  <sheetViews>
    <sheetView zoomScale="99" zoomScaleNormal="130" workbookViewId="0">
      <selection activeCell="D22" sqref="D22"/>
    </sheetView>
  </sheetViews>
  <sheetFormatPr baseColWidth="10" defaultColWidth="23.6640625" defaultRowHeight="14.4" x14ac:dyDescent="0.3"/>
  <cols>
    <col min="1" max="1" width="4.109375" style="32" customWidth="1"/>
    <col min="2" max="2" width="27.44140625" style="32" bestFit="1" customWidth="1"/>
    <col min="3" max="4" width="23.6640625" style="32"/>
    <col min="5" max="5" width="4.33203125" style="32" customWidth="1"/>
    <col min="6" max="6" width="28" style="32" customWidth="1"/>
    <col min="7" max="10" width="23.6640625" style="32"/>
    <col min="11" max="11" width="11.33203125" style="32" customWidth="1"/>
    <col min="12" max="16384" width="23.6640625" style="32"/>
  </cols>
  <sheetData>
    <row r="1" spans="2:8" ht="15" thickBot="1" x14ac:dyDescent="0.35"/>
    <row r="2" spans="2:8" ht="15" thickBot="1" x14ac:dyDescent="0.35">
      <c r="B2" s="37" t="s">
        <v>88</v>
      </c>
    </row>
    <row r="3" spans="2:8" x14ac:dyDescent="0.3">
      <c r="B3" s="34" t="s">
        <v>90</v>
      </c>
      <c r="C3" s="34" t="s">
        <v>79</v>
      </c>
      <c r="D3" s="34" t="s">
        <v>80</v>
      </c>
      <c r="E3" s="34"/>
      <c r="F3" s="34" t="s">
        <v>91</v>
      </c>
      <c r="G3" s="34" t="s">
        <v>79</v>
      </c>
      <c r="H3" s="34" t="s">
        <v>80</v>
      </c>
    </row>
    <row r="4" spans="2:8" x14ac:dyDescent="0.3">
      <c r="B4" s="32" t="s">
        <v>3</v>
      </c>
      <c r="C4" s="33">
        <v>88</v>
      </c>
      <c r="D4" s="38">
        <f>C4/4</f>
        <v>22</v>
      </c>
      <c r="F4" s="32" t="s">
        <v>3</v>
      </c>
      <c r="G4" s="33">
        <v>138</v>
      </c>
      <c r="H4" s="38">
        <f>G4/4</f>
        <v>34.5</v>
      </c>
    </row>
    <row r="5" spans="2:8" x14ac:dyDescent="0.3">
      <c r="B5" s="32" t="s">
        <v>0</v>
      </c>
      <c r="C5" s="33">
        <v>154</v>
      </c>
      <c r="D5" s="38">
        <f>C5/8</f>
        <v>19.25</v>
      </c>
      <c r="F5" s="32" t="s">
        <v>0</v>
      </c>
      <c r="G5" s="33">
        <v>204</v>
      </c>
      <c r="H5" s="38">
        <f>G5/8</f>
        <v>25.5</v>
      </c>
    </row>
    <row r="6" spans="2:8" x14ac:dyDescent="0.3">
      <c r="B6" s="32" t="s">
        <v>89</v>
      </c>
      <c r="C6" s="33">
        <v>198</v>
      </c>
      <c r="D6" s="38"/>
      <c r="F6" s="32" t="s">
        <v>89</v>
      </c>
      <c r="G6" s="33">
        <v>248</v>
      </c>
      <c r="H6" s="38">
        <f>G6/12</f>
        <v>20.666666666666668</v>
      </c>
    </row>
    <row r="8" spans="2:8" ht="15" thickBot="1" x14ac:dyDescent="0.35"/>
    <row r="9" spans="2:8" ht="15" thickBot="1" x14ac:dyDescent="0.35">
      <c r="B9" s="37" t="s">
        <v>92</v>
      </c>
    </row>
    <row r="10" spans="2:8" x14ac:dyDescent="0.3">
      <c r="B10" s="34" t="s">
        <v>90</v>
      </c>
      <c r="C10" s="34" t="s">
        <v>79</v>
      </c>
      <c r="D10" s="34" t="s">
        <v>80</v>
      </c>
      <c r="E10" s="34"/>
      <c r="F10" s="34" t="s">
        <v>91</v>
      </c>
      <c r="G10" s="34" t="s">
        <v>79</v>
      </c>
      <c r="H10" s="34" t="s">
        <v>80</v>
      </c>
    </row>
    <row r="11" spans="2:8" x14ac:dyDescent="0.3">
      <c r="B11" s="32" t="s">
        <v>3</v>
      </c>
      <c r="C11" s="33">
        <v>84</v>
      </c>
      <c r="D11" s="38">
        <f>C11/4</f>
        <v>21</v>
      </c>
      <c r="G11" s="33"/>
      <c r="H11" s="38"/>
    </row>
    <row r="12" spans="2:8" x14ac:dyDescent="0.3">
      <c r="B12" s="32" t="s">
        <v>0</v>
      </c>
      <c r="C12" s="33">
        <v>128</v>
      </c>
      <c r="D12" s="38">
        <f>C12/8</f>
        <v>16</v>
      </c>
      <c r="G12" s="33"/>
      <c r="H12" s="38"/>
    </row>
    <row r="13" spans="2:8" x14ac:dyDescent="0.3">
      <c r="B13" s="32" t="s">
        <v>2</v>
      </c>
      <c r="C13" s="33">
        <v>180</v>
      </c>
      <c r="D13" s="38">
        <f>C13/12</f>
        <v>15</v>
      </c>
      <c r="G13" s="33"/>
      <c r="H13" s="38"/>
    </row>
    <row r="14" spans="2:8" x14ac:dyDescent="0.3">
      <c r="G14" s="33"/>
      <c r="H14" s="38"/>
    </row>
    <row r="15" spans="2:8" ht="15" thickBot="1" x14ac:dyDescent="0.35"/>
    <row r="16" spans="2:8" ht="15" thickBot="1" x14ac:dyDescent="0.35">
      <c r="B16" s="37" t="s">
        <v>93</v>
      </c>
    </row>
    <row r="17" spans="2:8" x14ac:dyDescent="0.3">
      <c r="B17" s="34" t="s">
        <v>90</v>
      </c>
      <c r="C17" s="34" t="s">
        <v>79</v>
      </c>
      <c r="D17" s="34" t="s">
        <v>80</v>
      </c>
      <c r="E17" s="34"/>
      <c r="F17" s="34" t="s">
        <v>95</v>
      </c>
      <c r="G17" s="34" t="s">
        <v>79</v>
      </c>
      <c r="H17" s="34" t="s">
        <v>80</v>
      </c>
    </row>
    <row r="18" spans="2:8" x14ac:dyDescent="0.3">
      <c r="B18" s="32" t="s">
        <v>3</v>
      </c>
      <c r="C18" s="33">
        <v>80</v>
      </c>
      <c r="D18" s="38">
        <f>C18/4</f>
        <v>20</v>
      </c>
      <c r="F18" s="32" t="s">
        <v>94</v>
      </c>
      <c r="G18" s="33">
        <v>120</v>
      </c>
      <c r="H18" s="38">
        <f>G18/5</f>
        <v>24</v>
      </c>
    </row>
    <row r="19" spans="2:8" x14ac:dyDescent="0.3">
      <c r="B19" s="32" t="s">
        <v>0</v>
      </c>
      <c r="C19" s="33">
        <v>144</v>
      </c>
      <c r="D19" s="38">
        <f>C19/8</f>
        <v>18</v>
      </c>
      <c r="F19" s="32" t="s">
        <v>1</v>
      </c>
      <c r="G19" s="33">
        <v>220</v>
      </c>
      <c r="H19" s="38">
        <f>G19/10</f>
        <v>22</v>
      </c>
    </row>
    <row r="20" spans="2:8" x14ac:dyDescent="0.3">
      <c r="B20" s="32" t="s">
        <v>89</v>
      </c>
      <c r="C20" s="33">
        <v>192</v>
      </c>
      <c r="D20" s="38">
        <f>C20/12</f>
        <v>16</v>
      </c>
      <c r="G20" s="33"/>
      <c r="H20" s="38"/>
    </row>
    <row r="21" spans="2:8" x14ac:dyDescent="0.3">
      <c r="B21" s="39"/>
      <c r="C21" s="40"/>
      <c r="D21" s="41"/>
      <c r="G21" s="33"/>
      <c r="H21" s="38"/>
    </row>
    <row r="22" spans="2:8" ht="15" thickBot="1" x14ac:dyDescent="0.35"/>
    <row r="23" spans="2:8" ht="15" thickBot="1" x14ac:dyDescent="0.35">
      <c r="B23" s="37" t="s">
        <v>96</v>
      </c>
    </row>
    <row r="24" spans="2:8" x14ac:dyDescent="0.3">
      <c r="B24" s="34" t="s">
        <v>90</v>
      </c>
      <c r="C24" s="34" t="s">
        <v>79</v>
      </c>
      <c r="D24" s="34" t="s">
        <v>80</v>
      </c>
      <c r="E24" s="34"/>
      <c r="F24" s="34" t="s">
        <v>95</v>
      </c>
      <c r="G24" s="34" t="s">
        <v>79</v>
      </c>
      <c r="H24" s="34" t="s">
        <v>80</v>
      </c>
    </row>
    <row r="25" spans="2:8" x14ac:dyDescent="0.3">
      <c r="B25" s="32" t="s">
        <v>3</v>
      </c>
      <c r="C25" s="33">
        <v>90</v>
      </c>
      <c r="D25" s="38">
        <f>C25/4</f>
        <v>22.5</v>
      </c>
      <c r="F25" s="32" t="s">
        <v>94</v>
      </c>
      <c r="G25" s="33">
        <v>138</v>
      </c>
      <c r="H25" s="38">
        <f>G25/5</f>
        <v>27.6</v>
      </c>
    </row>
    <row r="26" spans="2:8" x14ac:dyDescent="0.3">
      <c r="B26" s="32" t="s">
        <v>0</v>
      </c>
      <c r="C26" s="33">
        <v>174</v>
      </c>
      <c r="D26" s="38">
        <f>C26/8</f>
        <v>21.75</v>
      </c>
      <c r="F26" s="32" t="s">
        <v>1</v>
      </c>
      <c r="G26" s="33">
        <v>256</v>
      </c>
      <c r="H26" s="38">
        <f>G26/10</f>
        <v>25.6</v>
      </c>
    </row>
    <row r="27" spans="2:8" x14ac:dyDescent="0.3">
      <c r="B27" s="32" t="s">
        <v>2</v>
      </c>
      <c r="C27" s="33">
        <v>250</v>
      </c>
      <c r="D27" s="38">
        <f>C27/12</f>
        <v>20.833333333333332</v>
      </c>
      <c r="F27" s="32" t="s">
        <v>97</v>
      </c>
      <c r="G27" s="33">
        <v>470</v>
      </c>
      <c r="H27" s="38">
        <f>G27/20</f>
        <v>23.5</v>
      </c>
    </row>
    <row r="28" spans="2:8" x14ac:dyDescent="0.3">
      <c r="B28" s="39"/>
      <c r="C28" s="40"/>
      <c r="D28" s="41"/>
      <c r="G28" s="33"/>
      <c r="H28" s="38"/>
    </row>
    <row r="29" spans="2:8" ht="15" thickBot="1" x14ac:dyDescent="0.35"/>
    <row r="30" spans="2:8" ht="15" thickBot="1" x14ac:dyDescent="0.35">
      <c r="B30" s="37" t="s">
        <v>98</v>
      </c>
    </row>
    <row r="31" spans="2:8" x14ac:dyDescent="0.3">
      <c r="B31" s="34" t="s">
        <v>90</v>
      </c>
      <c r="C31" s="34" t="s">
        <v>79</v>
      </c>
      <c r="D31" s="34" t="s">
        <v>80</v>
      </c>
      <c r="E31" s="34"/>
      <c r="F31" s="34" t="s">
        <v>95</v>
      </c>
      <c r="G31" s="34" t="s">
        <v>79</v>
      </c>
      <c r="H31" s="34" t="s">
        <v>80</v>
      </c>
    </row>
    <row r="32" spans="2:8" x14ac:dyDescent="0.3">
      <c r="B32" s="32" t="s">
        <v>3</v>
      </c>
      <c r="C32" s="33">
        <v>58</v>
      </c>
      <c r="D32" s="38">
        <f>C32/4</f>
        <v>14.5</v>
      </c>
      <c r="G32" s="33"/>
      <c r="H32" s="38"/>
    </row>
    <row r="33" spans="2:8" x14ac:dyDescent="0.3">
      <c r="B33" s="32" t="s">
        <v>0</v>
      </c>
      <c r="C33" s="33">
        <v>110</v>
      </c>
      <c r="D33" s="38">
        <f>C33/8</f>
        <v>13.75</v>
      </c>
      <c r="G33" s="33"/>
      <c r="H33" s="38"/>
    </row>
    <row r="34" spans="2:8" x14ac:dyDescent="0.3">
      <c r="B34" s="32" t="s">
        <v>2</v>
      </c>
      <c r="C34" s="33">
        <v>147</v>
      </c>
      <c r="D34" s="38">
        <f>C34/12</f>
        <v>12.25</v>
      </c>
      <c r="G34" s="33"/>
      <c r="H34" s="38"/>
    </row>
    <row r="35" spans="2:8" x14ac:dyDescent="0.3">
      <c r="B35" s="39"/>
      <c r="C35" s="40"/>
      <c r="D35" s="41"/>
      <c r="G35" s="33"/>
      <c r="H35" s="38"/>
    </row>
    <row r="36" spans="2:8" ht="15" thickBot="1" x14ac:dyDescent="0.35">
      <c r="G36" s="33"/>
      <c r="H36" s="38"/>
    </row>
    <row r="37" spans="2:8" ht="15" thickBot="1" x14ac:dyDescent="0.35">
      <c r="B37" s="37" t="s">
        <v>99</v>
      </c>
    </row>
    <row r="38" spans="2:8" x14ac:dyDescent="0.3">
      <c r="B38" s="34" t="s">
        <v>90</v>
      </c>
      <c r="C38" s="34" t="s">
        <v>79</v>
      </c>
      <c r="D38" s="34" t="s">
        <v>80</v>
      </c>
      <c r="E38" s="34"/>
      <c r="F38" s="34" t="s">
        <v>95</v>
      </c>
      <c r="G38" s="34" t="s">
        <v>79</v>
      </c>
      <c r="H38" s="34" t="s">
        <v>80</v>
      </c>
    </row>
    <row r="39" spans="2:8" x14ac:dyDescent="0.3">
      <c r="B39" s="32" t="s">
        <v>3</v>
      </c>
      <c r="C39" s="33">
        <v>84</v>
      </c>
      <c r="D39" s="38">
        <f>C39/4</f>
        <v>21</v>
      </c>
      <c r="G39" s="33"/>
      <c r="H39" s="38"/>
    </row>
    <row r="40" spans="2:8" x14ac:dyDescent="0.3">
      <c r="B40" s="32" t="s">
        <v>0</v>
      </c>
      <c r="C40" s="33">
        <v>147</v>
      </c>
      <c r="D40" s="38">
        <f>C40/8</f>
        <v>18.375</v>
      </c>
      <c r="G40" s="33"/>
      <c r="H40" s="38"/>
    </row>
    <row r="41" spans="2:8" x14ac:dyDescent="0.3">
      <c r="B41" s="32" t="s">
        <v>2</v>
      </c>
      <c r="C41" s="33">
        <v>194</v>
      </c>
      <c r="D41" s="38">
        <f>C41/12</f>
        <v>16.166666666666668</v>
      </c>
      <c r="G41" s="33"/>
      <c r="H41" s="38"/>
    </row>
    <row r="43" spans="2:8" ht="15" thickBot="1" x14ac:dyDescent="0.35"/>
    <row r="44" spans="2:8" ht="15" thickBot="1" x14ac:dyDescent="0.35">
      <c r="B44" s="37" t="s">
        <v>100</v>
      </c>
    </row>
    <row r="45" spans="2:8" x14ac:dyDescent="0.3">
      <c r="B45" s="34" t="s">
        <v>90</v>
      </c>
      <c r="C45" s="34" t="s">
        <v>79</v>
      </c>
      <c r="D45" s="34" t="s">
        <v>80</v>
      </c>
      <c r="E45" s="34"/>
      <c r="F45" s="34" t="s">
        <v>95</v>
      </c>
      <c r="G45" s="34" t="s">
        <v>79</v>
      </c>
      <c r="H45" s="34" t="s">
        <v>80</v>
      </c>
    </row>
    <row r="46" spans="2:8" x14ac:dyDescent="0.3">
      <c r="B46" s="32" t="s">
        <v>3</v>
      </c>
      <c r="C46" s="33">
        <v>67</v>
      </c>
      <c r="D46" s="38">
        <f>C46/4</f>
        <v>16.75</v>
      </c>
      <c r="G46" s="33"/>
      <c r="H46" s="38"/>
    </row>
    <row r="47" spans="2:8" x14ac:dyDescent="0.3">
      <c r="B47" s="32" t="s">
        <v>0</v>
      </c>
      <c r="C47" s="33">
        <v>113</v>
      </c>
      <c r="D47" s="38">
        <f>C47/8</f>
        <v>14.125</v>
      </c>
      <c r="G47" s="33"/>
      <c r="H47" s="38"/>
    </row>
    <row r="48" spans="2:8" x14ac:dyDescent="0.3">
      <c r="B48" s="32" t="s">
        <v>2</v>
      </c>
      <c r="C48" s="33">
        <v>154</v>
      </c>
      <c r="D48" s="38">
        <f>C48/12</f>
        <v>12.833333333333334</v>
      </c>
      <c r="G48" s="33"/>
      <c r="H48" s="38"/>
    </row>
    <row r="50" spans="2:8" ht="15" thickBot="1" x14ac:dyDescent="0.35"/>
    <row r="51" spans="2:8" ht="15" thickBot="1" x14ac:dyDescent="0.35">
      <c r="B51" s="37" t="s">
        <v>101</v>
      </c>
      <c r="C51" s="42" t="s">
        <v>102</v>
      </c>
    </row>
    <row r="52" spans="2:8" x14ac:dyDescent="0.3">
      <c r="B52" s="34" t="s">
        <v>90</v>
      </c>
      <c r="C52" s="34" t="s">
        <v>79</v>
      </c>
      <c r="D52" s="34" t="s">
        <v>80</v>
      </c>
      <c r="E52" s="34"/>
      <c r="F52" s="34" t="s">
        <v>95</v>
      </c>
      <c r="G52" s="34" t="s">
        <v>79</v>
      </c>
      <c r="H52" s="34" t="s">
        <v>80</v>
      </c>
    </row>
    <row r="53" spans="2:8" x14ac:dyDescent="0.3">
      <c r="B53" s="32" t="s">
        <v>3</v>
      </c>
      <c r="C53" s="33">
        <v>80</v>
      </c>
      <c r="D53" s="38">
        <f>C53/4</f>
        <v>20</v>
      </c>
      <c r="G53" s="33"/>
      <c r="H53" s="38"/>
    </row>
    <row r="54" spans="2:8" x14ac:dyDescent="0.3">
      <c r="B54" s="32" t="s">
        <v>0</v>
      </c>
      <c r="C54" s="33">
        <v>140</v>
      </c>
      <c r="D54" s="38">
        <f>C54/8</f>
        <v>17.5</v>
      </c>
      <c r="G54" s="33"/>
      <c r="H54" s="38"/>
    </row>
    <row r="55" spans="2:8" x14ac:dyDescent="0.3">
      <c r="B55" s="32" t="s">
        <v>89</v>
      </c>
      <c r="C55" s="33">
        <v>180</v>
      </c>
      <c r="D55" s="38">
        <f>C55/12</f>
        <v>15</v>
      </c>
      <c r="G55" s="33"/>
      <c r="H55" s="38"/>
    </row>
    <row r="57" spans="2:8" ht="15" thickBot="1" x14ac:dyDescent="0.35"/>
    <row r="58" spans="2:8" ht="15" thickBot="1" x14ac:dyDescent="0.35">
      <c r="B58" s="37" t="s">
        <v>103</v>
      </c>
      <c r="C58" s="42" t="s">
        <v>102</v>
      </c>
    </row>
    <row r="59" spans="2:8" x14ac:dyDescent="0.3">
      <c r="B59" s="34" t="s">
        <v>90</v>
      </c>
      <c r="C59" s="34" t="s">
        <v>79</v>
      </c>
      <c r="D59" s="34" t="s">
        <v>80</v>
      </c>
      <c r="E59" s="34"/>
      <c r="F59" s="34" t="s">
        <v>95</v>
      </c>
      <c r="G59" s="34" t="s">
        <v>79</v>
      </c>
      <c r="H59" s="34" t="s">
        <v>80</v>
      </c>
    </row>
    <row r="60" spans="2:8" x14ac:dyDescent="0.3">
      <c r="B60" s="32" t="s">
        <v>3</v>
      </c>
      <c r="C60" s="33">
        <v>80</v>
      </c>
      <c r="D60" s="38">
        <f>C60/4</f>
        <v>20</v>
      </c>
      <c r="G60" s="33"/>
      <c r="H60" s="38"/>
    </row>
    <row r="61" spans="2:8" x14ac:dyDescent="0.3">
      <c r="B61" s="32" t="s">
        <v>0</v>
      </c>
      <c r="C61" s="33">
        <v>120</v>
      </c>
      <c r="D61" s="38">
        <f>C61/8</f>
        <v>15</v>
      </c>
      <c r="G61" s="33"/>
      <c r="H61" s="38"/>
    </row>
    <row r="62" spans="2:8" x14ac:dyDescent="0.3">
      <c r="B62" s="32" t="s">
        <v>2</v>
      </c>
      <c r="C62" s="33">
        <v>160</v>
      </c>
      <c r="D62" s="38">
        <f>C62/12</f>
        <v>13.333333333333334</v>
      </c>
      <c r="G62" s="33"/>
      <c r="H62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3113-B64B-4C27-90B7-9D5933382915}">
  <dimension ref="B2:V57"/>
  <sheetViews>
    <sheetView zoomScale="66" zoomScaleNormal="70" workbookViewId="0">
      <selection activeCell="C13" sqref="C13"/>
    </sheetView>
  </sheetViews>
  <sheetFormatPr baseColWidth="10" defaultColWidth="12.44140625" defaultRowHeight="14.4" x14ac:dyDescent="0.3"/>
  <cols>
    <col min="1" max="1" width="12.44140625" style="1"/>
    <col min="2" max="2" width="13.21875" style="1" bestFit="1" customWidth="1"/>
    <col min="3" max="9" width="12.44140625" style="1"/>
    <col min="10" max="10" width="12.44140625" style="2"/>
    <col min="11" max="11" width="12.44140625" style="1"/>
    <col min="12" max="12" width="24.44140625" style="1" bestFit="1" customWidth="1"/>
    <col min="13" max="13" width="12.44140625" style="1"/>
    <col min="14" max="14" width="5.109375" style="1" customWidth="1"/>
    <col min="15" max="15" width="24.44140625" style="1" bestFit="1" customWidth="1"/>
    <col min="16" max="16" width="12.44140625" style="1"/>
    <col min="17" max="17" width="5.33203125" style="1" customWidth="1"/>
    <col min="18" max="18" width="24.44140625" style="1" bestFit="1" customWidth="1"/>
    <col min="19" max="19" width="12.44140625" style="1"/>
    <col min="20" max="20" width="6.109375" style="1" customWidth="1"/>
    <col min="21" max="21" width="24.44140625" style="1" bestFit="1" customWidth="1"/>
    <col min="22" max="16384" width="12.44140625" style="1"/>
  </cols>
  <sheetData>
    <row r="2" spans="2:22" ht="15" thickBot="1" x14ac:dyDescent="0.35"/>
    <row r="3" spans="2:22" ht="15" thickBot="1" x14ac:dyDescent="0.35">
      <c r="B3" s="3" t="s">
        <v>23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31</v>
      </c>
      <c r="L3" s="23" t="s">
        <v>42</v>
      </c>
      <c r="M3" s="28">
        <f>E24</f>
        <v>0.84166666666666667</v>
      </c>
      <c r="O3" s="23" t="s">
        <v>42</v>
      </c>
      <c r="P3" s="28">
        <f>E35</f>
        <v>0.67500000000000004</v>
      </c>
      <c r="R3" s="23" t="s">
        <v>42</v>
      </c>
      <c r="S3" s="28">
        <f>E46</f>
        <v>0.5083333333333333</v>
      </c>
      <c r="U3" s="23" t="s">
        <v>42</v>
      </c>
      <c r="V3" s="28">
        <f>E57</f>
        <v>0.42499999999999999</v>
      </c>
    </row>
    <row r="4" spans="2:22" x14ac:dyDescent="0.3">
      <c r="B4" s="1" t="s">
        <v>22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f t="shared" ref="I4:I9" si="0">SUM(C4:H4)</f>
        <v>30</v>
      </c>
      <c r="L4" s="11"/>
      <c r="M4" s="12"/>
      <c r="O4" s="11"/>
      <c r="P4" s="12"/>
      <c r="R4" s="11"/>
      <c r="S4" s="12"/>
      <c r="U4" s="11"/>
      <c r="V4" s="12"/>
    </row>
    <row r="5" spans="2:22" x14ac:dyDescent="0.3">
      <c r="B5" s="1" t="s">
        <v>21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f t="shared" si="0"/>
        <v>30</v>
      </c>
      <c r="L5" s="20" t="s">
        <v>37</v>
      </c>
      <c r="M5" s="13">
        <f>G23</f>
        <v>10840</v>
      </c>
      <c r="O5" s="20" t="s">
        <v>37</v>
      </c>
      <c r="P5" s="13">
        <f>G34</f>
        <v>8690</v>
      </c>
      <c r="R5" s="20" t="s">
        <v>37</v>
      </c>
      <c r="S5" s="13">
        <f>G45</f>
        <v>6540</v>
      </c>
      <c r="U5" s="20" t="s">
        <v>37</v>
      </c>
      <c r="V5" s="13">
        <f>G56</f>
        <v>5465</v>
      </c>
    </row>
    <row r="6" spans="2:22" x14ac:dyDescent="0.3">
      <c r="B6" s="1" t="s">
        <v>4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f t="shared" si="0"/>
        <v>30</v>
      </c>
      <c r="L6" s="20" t="s">
        <v>38</v>
      </c>
      <c r="M6" s="13">
        <v>5087</v>
      </c>
      <c r="O6" s="20" t="s">
        <v>38</v>
      </c>
      <c r="P6" s="13">
        <f>M6</f>
        <v>5087</v>
      </c>
      <c r="R6" s="20" t="s">
        <v>38</v>
      </c>
      <c r="S6" s="13">
        <f>M6</f>
        <v>5087</v>
      </c>
      <c r="U6" s="20" t="s">
        <v>38</v>
      </c>
      <c r="V6" s="13">
        <f>M6</f>
        <v>5087</v>
      </c>
    </row>
    <row r="7" spans="2:22" x14ac:dyDescent="0.3">
      <c r="B7" s="1" t="s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f t="shared" si="0"/>
        <v>30</v>
      </c>
      <c r="L7" s="20" t="s">
        <v>39</v>
      </c>
      <c r="M7" s="13">
        <f>M5-M6</f>
        <v>5753</v>
      </c>
      <c r="O7" s="20" t="s">
        <v>39</v>
      </c>
      <c r="P7" s="13">
        <f>P5-P6</f>
        <v>3603</v>
      </c>
      <c r="R7" s="20" t="s">
        <v>39</v>
      </c>
      <c r="S7" s="13">
        <f>S5-S6</f>
        <v>1453</v>
      </c>
      <c r="U7" s="20" t="s">
        <v>39</v>
      </c>
      <c r="V7" s="13">
        <f>V5-V6</f>
        <v>378</v>
      </c>
    </row>
    <row r="8" spans="2:22" ht="15" thickBot="1" x14ac:dyDescent="0.35">
      <c r="B8" s="1" t="s">
        <v>6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f t="shared" si="0"/>
        <v>30</v>
      </c>
      <c r="L8" s="20" t="s">
        <v>40</v>
      </c>
      <c r="M8" s="13">
        <f>M7*0.25</f>
        <v>1438.25</v>
      </c>
      <c r="O8" s="20" t="s">
        <v>40</v>
      </c>
      <c r="P8" s="13">
        <f>P7*0.25</f>
        <v>900.75</v>
      </c>
      <c r="R8" s="20" t="s">
        <v>40</v>
      </c>
      <c r="S8" s="13">
        <f>S7*0.25</f>
        <v>363.25</v>
      </c>
      <c r="U8" s="20" t="s">
        <v>40</v>
      </c>
      <c r="V8" s="13">
        <f>V7*0.25</f>
        <v>94.5</v>
      </c>
    </row>
    <row r="9" spans="2:22" ht="15" thickBot="1" x14ac:dyDescent="0.35">
      <c r="B9" s="1" t="s">
        <v>7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f t="shared" si="0"/>
        <v>30</v>
      </c>
      <c r="L9" s="21" t="s">
        <v>41</v>
      </c>
      <c r="M9" s="24">
        <f>M7-M8</f>
        <v>4314.75</v>
      </c>
      <c r="O9" s="21" t="s">
        <v>41</v>
      </c>
      <c r="P9" s="24">
        <f>P7-P8</f>
        <v>2702.25</v>
      </c>
      <c r="R9" s="21" t="s">
        <v>41</v>
      </c>
      <c r="S9" s="24">
        <f>S7-S8</f>
        <v>1089.75</v>
      </c>
      <c r="U9" s="21" t="s">
        <v>41</v>
      </c>
      <c r="V9" s="24">
        <f>V7-V8</f>
        <v>283.5</v>
      </c>
    </row>
    <row r="10" spans="2:22" x14ac:dyDescent="0.3">
      <c r="C10" s="1">
        <f t="shared" ref="C10:H10" ca="1" si="1">SUM(C4:C12)</f>
        <v>30</v>
      </c>
      <c r="D10" s="1">
        <f t="shared" ca="1" si="1"/>
        <v>30</v>
      </c>
      <c r="E10" s="1">
        <f t="shared" ca="1" si="1"/>
        <v>30</v>
      </c>
      <c r="F10" s="1">
        <f t="shared" ca="1" si="1"/>
        <v>30</v>
      </c>
      <c r="G10" s="1">
        <f t="shared" ca="1" si="1"/>
        <v>30</v>
      </c>
      <c r="H10" s="1">
        <f t="shared" ca="1" si="1"/>
        <v>30</v>
      </c>
      <c r="I10" s="1">
        <v>180</v>
      </c>
      <c r="J10" s="7" t="s">
        <v>13</v>
      </c>
    </row>
    <row r="11" spans="2:22" ht="15" thickBot="1" x14ac:dyDescent="0.35">
      <c r="I11" s="3">
        <f>I10*4</f>
        <v>720</v>
      </c>
      <c r="J11" s="7" t="s">
        <v>14</v>
      </c>
    </row>
    <row r="12" spans="2:22" x14ac:dyDescent="0.3">
      <c r="L12" s="23" t="s">
        <v>43</v>
      </c>
      <c r="M12" s="10"/>
      <c r="O12" s="23" t="s">
        <v>43</v>
      </c>
      <c r="P12" s="10"/>
      <c r="R12" s="23" t="s">
        <v>43</v>
      </c>
      <c r="S12" s="10"/>
      <c r="U12" s="23" t="s">
        <v>43</v>
      </c>
      <c r="V12" s="10"/>
    </row>
    <row r="13" spans="2:22" x14ac:dyDescent="0.3">
      <c r="L13" s="11"/>
      <c r="M13" s="12"/>
      <c r="O13" s="11"/>
      <c r="P13" s="12"/>
      <c r="R13" s="11"/>
      <c r="S13" s="12"/>
      <c r="U13" s="11"/>
      <c r="V13" s="12"/>
    </row>
    <row r="14" spans="2:22" x14ac:dyDescent="0.3">
      <c r="L14" s="20" t="s">
        <v>37</v>
      </c>
      <c r="M14" s="13">
        <f>M5*12</f>
        <v>130080</v>
      </c>
      <c r="O14" s="20" t="s">
        <v>37</v>
      </c>
      <c r="P14" s="13">
        <f>P5*12</f>
        <v>104280</v>
      </c>
      <c r="R14" s="20" t="s">
        <v>37</v>
      </c>
      <c r="S14" s="13">
        <f>S5*12</f>
        <v>78480</v>
      </c>
      <c r="U14" s="20" t="s">
        <v>37</v>
      </c>
      <c r="V14" s="13">
        <f>V5*12</f>
        <v>65580</v>
      </c>
    </row>
    <row r="15" spans="2:22" ht="15" thickBot="1" x14ac:dyDescent="0.35">
      <c r="L15" s="20" t="s">
        <v>38</v>
      </c>
      <c r="M15" s="13">
        <f>M6*12</f>
        <v>61044</v>
      </c>
      <c r="O15" s="20" t="s">
        <v>38</v>
      </c>
      <c r="P15" s="13">
        <f>P6*12</f>
        <v>61044</v>
      </c>
      <c r="R15" s="20" t="s">
        <v>38</v>
      </c>
      <c r="S15" s="13">
        <f>S6*12</f>
        <v>61044</v>
      </c>
      <c r="U15" s="20" t="s">
        <v>38</v>
      </c>
      <c r="V15" s="13">
        <f>V6*12</f>
        <v>61044</v>
      </c>
    </row>
    <row r="16" spans="2:22" x14ac:dyDescent="0.3">
      <c r="B16" s="8" t="s">
        <v>108</v>
      </c>
      <c r="C16" s="9">
        <f>SUM(C19:C22)</f>
        <v>100</v>
      </c>
      <c r="D16" s="18"/>
      <c r="E16" s="9"/>
      <c r="F16" s="9"/>
      <c r="G16" s="10"/>
      <c r="L16" s="20" t="s">
        <v>39</v>
      </c>
      <c r="M16" s="13">
        <f>M14-M15</f>
        <v>69036</v>
      </c>
      <c r="O16" s="20" t="s">
        <v>39</v>
      </c>
      <c r="P16" s="13">
        <f>P14-P15</f>
        <v>43236</v>
      </c>
      <c r="R16" s="20" t="s">
        <v>39</v>
      </c>
      <c r="S16" s="13">
        <f>S14-S15</f>
        <v>17436</v>
      </c>
      <c r="U16" s="20" t="s">
        <v>39</v>
      </c>
      <c r="V16" s="13">
        <f>V14-V15</f>
        <v>4536</v>
      </c>
    </row>
    <row r="17" spans="2:22" ht="15" thickBot="1" x14ac:dyDescent="0.35">
      <c r="B17" s="11"/>
      <c r="G17" s="12"/>
      <c r="L17" s="20" t="s">
        <v>40</v>
      </c>
      <c r="M17" s="13">
        <f>M16*0.25</f>
        <v>17259</v>
      </c>
      <c r="O17" s="20" t="s">
        <v>40</v>
      </c>
      <c r="P17" s="13">
        <f>P16*0.25</f>
        <v>10809</v>
      </c>
      <c r="R17" s="20" t="s">
        <v>40</v>
      </c>
      <c r="S17" s="13">
        <f>S16*0.25</f>
        <v>4359</v>
      </c>
      <c r="U17" s="20" t="s">
        <v>40</v>
      </c>
      <c r="V17" s="13">
        <f>V16*0.25</f>
        <v>1134</v>
      </c>
    </row>
    <row r="18" spans="2:22" ht="15" thickBot="1" x14ac:dyDescent="0.35">
      <c r="B18" s="11"/>
      <c r="C18" s="3" t="s">
        <v>15</v>
      </c>
      <c r="D18" s="3" t="s">
        <v>16</v>
      </c>
      <c r="E18" s="3" t="s">
        <v>17</v>
      </c>
      <c r="F18" s="3" t="s">
        <v>18</v>
      </c>
      <c r="G18" s="43" t="s">
        <v>20</v>
      </c>
      <c r="L18" s="21" t="s">
        <v>49</v>
      </c>
      <c r="M18" s="24">
        <f>M16-M17</f>
        <v>51777</v>
      </c>
      <c r="O18" s="21" t="s">
        <v>49</v>
      </c>
      <c r="P18" s="24">
        <f>P16-P17</f>
        <v>32427</v>
      </c>
      <c r="R18" s="21" t="s">
        <v>49</v>
      </c>
      <c r="S18" s="24">
        <f>S16-S17</f>
        <v>13077</v>
      </c>
      <c r="U18" s="21" t="s">
        <v>49</v>
      </c>
      <c r="V18" s="24">
        <f>V16-V17</f>
        <v>3402</v>
      </c>
    </row>
    <row r="19" spans="2:22" x14ac:dyDescent="0.3">
      <c r="B19" s="44" t="s">
        <v>106</v>
      </c>
      <c r="C19" s="1">
        <v>48</v>
      </c>
      <c r="D19" s="1">
        <v>4</v>
      </c>
      <c r="E19" s="1">
        <f>C19*D19</f>
        <v>192</v>
      </c>
      <c r="F19" s="4">
        <v>75</v>
      </c>
      <c r="G19" s="13">
        <f>C19*F19</f>
        <v>3600</v>
      </c>
      <c r="H19" s="30"/>
      <c r="I19" s="4"/>
    </row>
    <row r="20" spans="2:22" ht="15" thickBot="1" x14ac:dyDescent="0.35">
      <c r="B20" s="44" t="s">
        <v>106</v>
      </c>
      <c r="C20" s="1">
        <v>48</v>
      </c>
      <c r="D20" s="1">
        <v>8</v>
      </c>
      <c r="E20" s="1">
        <f>C20*D20</f>
        <v>384</v>
      </c>
      <c r="F20" s="4">
        <v>140</v>
      </c>
      <c r="G20" s="13">
        <f>C20*F20</f>
        <v>6720</v>
      </c>
      <c r="H20" s="30"/>
      <c r="I20" s="4"/>
      <c r="J20" s="1"/>
    </row>
    <row r="21" spans="2:22" x14ac:dyDescent="0.3">
      <c r="B21" s="44" t="s">
        <v>107</v>
      </c>
      <c r="C21" s="1">
        <v>2</v>
      </c>
      <c r="D21" s="1">
        <v>5</v>
      </c>
      <c r="E21" s="1">
        <f>C21*D21</f>
        <v>10</v>
      </c>
      <c r="F21" s="4">
        <v>90</v>
      </c>
      <c r="G21" s="13">
        <f>C21*F21</f>
        <v>180</v>
      </c>
      <c r="H21" s="30"/>
      <c r="J21" s="1"/>
      <c r="L21" s="23" t="s">
        <v>48</v>
      </c>
      <c r="M21" s="10"/>
      <c r="O21" s="23" t="s">
        <v>48</v>
      </c>
      <c r="P21" s="10"/>
      <c r="R21" s="23" t="s">
        <v>48</v>
      </c>
      <c r="S21" s="10"/>
      <c r="U21" s="23" t="s">
        <v>48</v>
      </c>
      <c r="V21" s="10"/>
    </row>
    <row r="22" spans="2:22" x14ac:dyDescent="0.3">
      <c r="B22" s="44" t="s">
        <v>107</v>
      </c>
      <c r="C22" s="1">
        <v>2</v>
      </c>
      <c r="D22" s="1">
        <v>10</v>
      </c>
      <c r="E22" s="1">
        <f>C22*D22</f>
        <v>20</v>
      </c>
      <c r="F22" s="4">
        <v>170</v>
      </c>
      <c r="G22" s="13">
        <f>C22*F22</f>
        <v>340</v>
      </c>
      <c r="H22" s="30"/>
      <c r="J22" s="1"/>
      <c r="L22" s="11"/>
      <c r="M22" s="12"/>
      <c r="O22" s="11"/>
      <c r="P22" s="12"/>
      <c r="R22" s="11"/>
      <c r="S22" s="12"/>
      <c r="U22" s="11"/>
      <c r="V22" s="12"/>
    </row>
    <row r="23" spans="2:22" x14ac:dyDescent="0.3">
      <c r="B23" s="11"/>
      <c r="E23" s="3">
        <f>SUM(E19:E22)</f>
        <v>606</v>
      </c>
      <c r="G23" s="14">
        <f>SUM(G19:G22)</f>
        <v>10840</v>
      </c>
      <c r="J23" s="1"/>
      <c r="L23" s="20" t="s">
        <v>49</v>
      </c>
      <c r="M23" s="13">
        <f>M18</f>
        <v>51777</v>
      </c>
      <c r="O23" s="20" t="s">
        <v>49</v>
      </c>
      <c r="P23" s="13">
        <f>P18</f>
        <v>32427</v>
      </c>
      <c r="R23" s="20" t="s">
        <v>49</v>
      </c>
      <c r="S23" s="13">
        <f>S18</f>
        <v>13077</v>
      </c>
      <c r="U23" s="20" t="s">
        <v>49</v>
      </c>
      <c r="V23" s="13">
        <f>V18</f>
        <v>3402</v>
      </c>
    </row>
    <row r="24" spans="2:22" ht="15" thickBot="1" x14ac:dyDescent="0.35">
      <c r="B24" s="15"/>
      <c r="C24" s="16"/>
      <c r="D24" s="16"/>
      <c r="E24" s="19">
        <f>E23/$I$11</f>
        <v>0.84166666666666667</v>
      </c>
      <c r="F24" s="16"/>
      <c r="G24" s="17"/>
      <c r="J24" s="1"/>
      <c r="L24" s="20" t="s">
        <v>50</v>
      </c>
      <c r="M24" s="13">
        <f>M23*(1-20%)</f>
        <v>41421.600000000006</v>
      </c>
      <c r="O24" s="20" t="s">
        <v>50</v>
      </c>
      <c r="P24" s="13">
        <f>P23*(1-20%)</f>
        <v>25941.600000000002</v>
      </c>
      <c r="R24" s="20" t="s">
        <v>50</v>
      </c>
      <c r="S24" s="13">
        <f>S23*(1-20%)</f>
        <v>10461.6</v>
      </c>
      <c r="U24" s="20" t="s">
        <v>50</v>
      </c>
      <c r="V24" s="13">
        <f>V23*(1-20%)</f>
        <v>2721.6000000000004</v>
      </c>
    </row>
    <row r="25" spans="2:22" ht="15" thickBot="1" x14ac:dyDescent="0.35">
      <c r="J25" s="1"/>
      <c r="L25" s="20" t="s">
        <v>51</v>
      </c>
      <c r="M25" s="24">
        <f>$M$24*0.25</f>
        <v>10355.400000000001</v>
      </c>
      <c r="O25" s="20" t="s">
        <v>51</v>
      </c>
      <c r="P25" s="24">
        <f>P$24*0.25</f>
        <v>6485.4000000000005</v>
      </c>
      <c r="R25" s="20" t="s">
        <v>51</v>
      </c>
      <c r="S25" s="24">
        <f>S$24*0.25</f>
        <v>2615.4</v>
      </c>
      <c r="U25" s="20" t="s">
        <v>51</v>
      </c>
      <c r="V25" s="24">
        <f>$V$24*0.25</f>
        <v>680.40000000000009</v>
      </c>
    </row>
    <row r="26" spans="2:22" ht="15" thickBot="1" x14ac:dyDescent="0.35">
      <c r="J26" s="1"/>
      <c r="L26" s="11" t="s">
        <v>52</v>
      </c>
      <c r="M26" s="24">
        <f>$M$24*0.25</f>
        <v>10355.400000000001</v>
      </c>
      <c r="O26" s="11" t="s">
        <v>52</v>
      </c>
      <c r="P26" s="24">
        <f>P$24*0.25</f>
        <v>6485.4000000000005</v>
      </c>
      <c r="R26" s="11" t="s">
        <v>52</v>
      </c>
      <c r="S26" s="24">
        <f>S$24*0.25</f>
        <v>2615.4</v>
      </c>
      <c r="U26" s="11" t="s">
        <v>52</v>
      </c>
      <c r="V26" s="24">
        <f>$V$24*0.25</f>
        <v>680.40000000000009</v>
      </c>
    </row>
    <row r="27" spans="2:22" ht="15" thickBot="1" x14ac:dyDescent="0.35">
      <c r="B27" s="8" t="s">
        <v>108</v>
      </c>
      <c r="C27" s="9">
        <f>SUM(C30:C33)</f>
        <v>80</v>
      </c>
      <c r="D27" s="18"/>
      <c r="E27" s="9"/>
      <c r="F27" s="9"/>
      <c r="G27" s="10"/>
      <c r="L27" s="11" t="s">
        <v>53</v>
      </c>
      <c r="M27" s="24">
        <f>$M$24*0.25</f>
        <v>10355.400000000001</v>
      </c>
      <c r="O27" s="11" t="s">
        <v>53</v>
      </c>
      <c r="P27" s="24">
        <f>P$24*0.25</f>
        <v>6485.4000000000005</v>
      </c>
      <c r="R27" s="11" t="s">
        <v>53</v>
      </c>
      <c r="S27" s="24">
        <f>S$24*0.25</f>
        <v>2615.4</v>
      </c>
      <c r="U27" s="11" t="s">
        <v>53</v>
      </c>
      <c r="V27" s="24">
        <f>$V$24*0.25</f>
        <v>680.40000000000009</v>
      </c>
    </row>
    <row r="28" spans="2:22" ht="15" thickBot="1" x14ac:dyDescent="0.35">
      <c r="B28" s="11"/>
      <c r="G28" s="12"/>
      <c r="L28" s="15" t="s">
        <v>54</v>
      </c>
      <c r="M28" s="24">
        <f>$M$24*0.25</f>
        <v>10355.400000000001</v>
      </c>
      <c r="O28" s="15" t="s">
        <v>54</v>
      </c>
      <c r="P28" s="24">
        <f>P$24*0.25</f>
        <v>6485.4000000000005</v>
      </c>
      <c r="R28" s="15" t="s">
        <v>54</v>
      </c>
      <c r="S28" s="24">
        <f>S$24*0.25</f>
        <v>2615.4</v>
      </c>
      <c r="U28" s="15" t="s">
        <v>54</v>
      </c>
      <c r="V28" s="24">
        <f>$V$24*0.25</f>
        <v>680.40000000000009</v>
      </c>
    </row>
    <row r="29" spans="2:22" x14ac:dyDescent="0.3">
      <c r="B29" s="11"/>
      <c r="C29" s="3" t="s">
        <v>15</v>
      </c>
      <c r="D29" s="3" t="s">
        <v>16</v>
      </c>
      <c r="E29" s="3" t="s">
        <v>17</v>
      </c>
      <c r="F29" s="3" t="s">
        <v>18</v>
      </c>
      <c r="G29" s="43" t="s">
        <v>20</v>
      </c>
    </row>
    <row r="30" spans="2:22" x14ac:dyDescent="0.3">
      <c r="B30" s="44" t="s">
        <v>106</v>
      </c>
      <c r="C30" s="1">
        <v>38</v>
      </c>
      <c r="D30" s="1">
        <v>4</v>
      </c>
      <c r="E30" s="1">
        <f>C30*D30</f>
        <v>152</v>
      </c>
      <c r="F30" s="4">
        <v>75</v>
      </c>
      <c r="G30" s="13">
        <f>C30*F30</f>
        <v>2850</v>
      </c>
    </row>
    <row r="31" spans="2:22" x14ac:dyDescent="0.3">
      <c r="B31" s="44" t="s">
        <v>106</v>
      </c>
      <c r="C31" s="1">
        <v>38</v>
      </c>
      <c r="D31" s="1">
        <v>8</v>
      </c>
      <c r="E31" s="1">
        <f>C31*D31</f>
        <v>304</v>
      </c>
      <c r="F31" s="4">
        <v>140</v>
      </c>
      <c r="G31" s="13">
        <f>C31*F31</f>
        <v>5320</v>
      </c>
    </row>
    <row r="32" spans="2:22" x14ac:dyDescent="0.3">
      <c r="B32" s="44" t="s">
        <v>107</v>
      </c>
      <c r="C32" s="1">
        <v>2</v>
      </c>
      <c r="D32" s="1">
        <v>5</v>
      </c>
      <c r="E32" s="1">
        <f>C32*D32</f>
        <v>10</v>
      </c>
      <c r="F32" s="4">
        <v>90</v>
      </c>
      <c r="G32" s="13">
        <f>C32*F32</f>
        <v>180</v>
      </c>
    </row>
    <row r="33" spans="2:7" x14ac:dyDescent="0.3">
      <c r="B33" s="44" t="s">
        <v>107</v>
      </c>
      <c r="C33" s="1">
        <v>2</v>
      </c>
      <c r="D33" s="1">
        <v>10</v>
      </c>
      <c r="E33" s="1">
        <f>C33*D33</f>
        <v>20</v>
      </c>
      <c r="F33" s="4">
        <v>170</v>
      </c>
      <c r="G33" s="13">
        <f>C33*F33</f>
        <v>340</v>
      </c>
    </row>
    <row r="34" spans="2:7" x14ac:dyDescent="0.3">
      <c r="B34" s="11"/>
      <c r="E34" s="3">
        <f>SUM(E30:E33)</f>
        <v>486</v>
      </c>
      <c r="G34" s="14">
        <f>SUM(G30:G33)</f>
        <v>8690</v>
      </c>
    </row>
    <row r="35" spans="2:7" ht="15" thickBot="1" x14ac:dyDescent="0.35">
      <c r="B35" s="15"/>
      <c r="C35" s="16"/>
      <c r="D35" s="16"/>
      <c r="E35" s="19">
        <f>E34/$I$11</f>
        <v>0.67500000000000004</v>
      </c>
      <c r="F35" s="16"/>
      <c r="G35" s="17"/>
    </row>
    <row r="37" spans="2:7" ht="15" thickBot="1" x14ac:dyDescent="0.35"/>
    <row r="38" spans="2:7" x14ac:dyDescent="0.3">
      <c r="B38" s="8" t="s">
        <v>108</v>
      </c>
      <c r="C38" s="9">
        <f>SUM(C41:C44)</f>
        <v>60</v>
      </c>
      <c r="D38" s="18"/>
      <c r="E38" s="9"/>
      <c r="F38" s="9"/>
      <c r="G38" s="10"/>
    </row>
    <row r="39" spans="2:7" x14ac:dyDescent="0.3">
      <c r="B39" s="11"/>
      <c r="G39" s="12"/>
    </row>
    <row r="40" spans="2:7" x14ac:dyDescent="0.3">
      <c r="B40" s="11"/>
      <c r="C40" s="3" t="s">
        <v>15</v>
      </c>
      <c r="D40" s="3" t="s">
        <v>16</v>
      </c>
      <c r="E40" s="3" t="s">
        <v>17</v>
      </c>
      <c r="F40" s="3" t="s">
        <v>18</v>
      </c>
      <c r="G40" s="43" t="s">
        <v>20</v>
      </c>
    </row>
    <row r="41" spans="2:7" x14ac:dyDescent="0.3">
      <c r="B41" s="44" t="s">
        <v>106</v>
      </c>
      <c r="C41" s="1">
        <v>28</v>
      </c>
      <c r="D41" s="1">
        <v>4</v>
      </c>
      <c r="E41" s="1">
        <f>C41*D41</f>
        <v>112</v>
      </c>
      <c r="F41" s="4">
        <v>75</v>
      </c>
      <c r="G41" s="13">
        <f>C41*F41</f>
        <v>2100</v>
      </c>
    </row>
    <row r="42" spans="2:7" x14ac:dyDescent="0.3">
      <c r="B42" s="44" t="s">
        <v>106</v>
      </c>
      <c r="C42" s="1">
        <v>28</v>
      </c>
      <c r="D42" s="1">
        <v>8</v>
      </c>
      <c r="E42" s="1">
        <f>C42*D42</f>
        <v>224</v>
      </c>
      <c r="F42" s="4">
        <v>140</v>
      </c>
      <c r="G42" s="13">
        <f>C42*F42</f>
        <v>3920</v>
      </c>
    </row>
    <row r="43" spans="2:7" x14ac:dyDescent="0.3">
      <c r="B43" s="44" t="s">
        <v>107</v>
      </c>
      <c r="C43" s="1">
        <v>2</v>
      </c>
      <c r="D43" s="1">
        <v>5</v>
      </c>
      <c r="E43" s="1">
        <f>C43*D43</f>
        <v>10</v>
      </c>
      <c r="F43" s="4">
        <v>90</v>
      </c>
      <c r="G43" s="13">
        <f>C43*F43</f>
        <v>180</v>
      </c>
    </row>
    <row r="44" spans="2:7" x14ac:dyDescent="0.3">
      <c r="B44" s="44" t="s">
        <v>107</v>
      </c>
      <c r="C44" s="1">
        <v>2</v>
      </c>
      <c r="D44" s="1">
        <v>10</v>
      </c>
      <c r="E44" s="1">
        <f>C44*D44</f>
        <v>20</v>
      </c>
      <c r="F44" s="4">
        <v>170</v>
      </c>
      <c r="G44" s="13">
        <f>C44*F44</f>
        <v>340</v>
      </c>
    </row>
    <row r="45" spans="2:7" x14ac:dyDescent="0.3">
      <c r="B45" s="11"/>
      <c r="E45" s="3">
        <f>SUM(E41:E44)</f>
        <v>366</v>
      </c>
      <c r="G45" s="14">
        <f>SUM(G41:G44)</f>
        <v>6540</v>
      </c>
    </row>
    <row r="46" spans="2:7" ht="15" thickBot="1" x14ac:dyDescent="0.35">
      <c r="B46" s="15"/>
      <c r="C46" s="16"/>
      <c r="D46" s="16"/>
      <c r="E46" s="19">
        <f>E45/$I$11</f>
        <v>0.5083333333333333</v>
      </c>
      <c r="F46" s="16"/>
      <c r="G46" s="17"/>
    </row>
    <row r="48" spans="2:7" ht="15" thickBot="1" x14ac:dyDescent="0.35"/>
    <row r="49" spans="2:8" x14ac:dyDescent="0.3">
      <c r="B49" s="8" t="s">
        <v>108</v>
      </c>
      <c r="C49" s="36">
        <f>SUM(C52:C55)</f>
        <v>50</v>
      </c>
      <c r="D49" s="36" t="s">
        <v>72</v>
      </c>
      <c r="E49" s="9"/>
      <c r="F49" s="9"/>
      <c r="G49" s="10"/>
    </row>
    <row r="50" spans="2:8" x14ac:dyDescent="0.3">
      <c r="B50" s="11"/>
      <c r="G50" s="12"/>
    </row>
    <row r="51" spans="2:8" x14ac:dyDescent="0.3">
      <c r="B51" s="11"/>
      <c r="C51" s="3" t="s">
        <v>15</v>
      </c>
      <c r="D51" s="3" t="s">
        <v>16</v>
      </c>
      <c r="E51" s="3" t="s">
        <v>17</v>
      </c>
      <c r="F51" s="3" t="s">
        <v>18</v>
      </c>
      <c r="G51" s="43" t="s">
        <v>20</v>
      </c>
    </row>
    <row r="52" spans="2:8" x14ac:dyDescent="0.3">
      <c r="B52" s="44" t="s">
        <v>106</v>
      </c>
      <c r="C52" s="1">
        <v>23</v>
      </c>
      <c r="D52" s="1">
        <v>4</v>
      </c>
      <c r="E52" s="1">
        <f>C52*D52</f>
        <v>92</v>
      </c>
      <c r="F52" s="4">
        <v>75</v>
      </c>
      <c r="G52" s="13">
        <f>C52*F52</f>
        <v>1725</v>
      </c>
      <c r="H52" s="4"/>
    </row>
    <row r="53" spans="2:8" x14ac:dyDescent="0.3">
      <c r="B53" s="44" t="s">
        <v>106</v>
      </c>
      <c r="C53" s="1">
        <v>23</v>
      </c>
      <c r="D53" s="1">
        <v>8</v>
      </c>
      <c r="E53" s="1">
        <f>C53*D53</f>
        <v>184</v>
      </c>
      <c r="F53" s="4">
        <v>140</v>
      </c>
      <c r="G53" s="13">
        <f>C53*F53</f>
        <v>3220</v>
      </c>
      <c r="H53" s="4"/>
    </row>
    <row r="54" spans="2:8" x14ac:dyDescent="0.3">
      <c r="B54" s="44" t="s">
        <v>107</v>
      </c>
      <c r="C54" s="1">
        <v>2</v>
      </c>
      <c r="D54" s="1">
        <v>5</v>
      </c>
      <c r="E54" s="1">
        <f>C54*D54</f>
        <v>10</v>
      </c>
      <c r="F54" s="4">
        <v>90</v>
      </c>
      <c r="G54" s="13">
        <f>C54*F54</f>
        <v>180</v>
      </c>
    </row>
    <row r="55" spans="2:8" x14ac:dyDescent="0.3">
      <c r="B55" s="44" t="s">
        <v>107</v>
      </c>
      <c r="C55" s="1">
        <v>2</v>
      </c>
      <c r="D55" s="1">
        <v>10</v>
      </c>
      <c r="E55" s="1">
        <f>C55*D55</f>
        <v>20</v>
      </c>
      <c r="F55" s="4">
        <v>170</v>
      </c>
      <c r="G55" s="13">
        <f>C55*F55</f>
        <v>340</v>
      </c>
    </row>
    <row r="56" spans="2:8" x14ac:dyDescent="0.3">
      <c r="B56" s="11"/>
      <c r="E56" s="3">
        <f>SUM(E52:E55)</f>
        <v>306</v>
      </c>
      <c r="G56" s="14">
        <f>SUM(G52:G55)</f>
        <v>5465</v>
      </c>
    </row>
    <row r="57" spans="2:8" ht="15" thickBot="1" x14ac:dyDescent="0.35">
      <c r="B57" s="15"/>
      <c r="C57" s="16"/>
      <c r="D57" s="16"/>
      <c r="E57" s="19">
        <f>E56/$I$11</f>
        <v>0.42499999999999999</v>
      </c>
      <c r="F57" s="16"/>
      <c r="G57" s="17"/>
    </row>
  </sheetData>
  <conditionalFormatting sqref="O3:O5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3304-1AC6-43E1-A9C3-9134342883D4}">
  <dimension ref="B2:V60"/>
  <sheetViews>
    <sheetView zoomScale="75" workbookViewId="0">
      <selection activeCell="J24" sqref="J24"/>
    </sheetView>
  </sheetViews>
  <sheetFormatPr baseColWidth="10" defaultColWidth="12.44140625" defaultRowHeight="14.4" x14ac:dyDescent="0.3"/>
  <cols>
    <col min="1" max="1" width="12.44140625" style="1"/>
    <col min="2" max="2" width="13.77734375" style="1" bestFit="1" customWidth="1"/>
    <col min="3" max="8" width="12.44140625" style="1"/>
    <col min="9" max="9" width="12.44140625" style="2"/>
    <col min="10" max="11" width="12.44140625" style="1"/>
    <col min="12" max="12" width="24.44140625" style="1" bestFit="1" customWidth="1"/>
    <col min="13" max="13" width="12.44140625" style="1"/>
    <col min="14" max="14" width="6.33203125" style="1" customWidth="1"/>
    <col min="15" max="15" width="24.44140625" style="1" bestFit="1" customWidth="1"/>
    <col min="16" max="16" width="12.44140625" style="1"/>
    <col min="17" max="17" width="4.109375" style="1" customWidth="1"/>
    <col min="18" max="18" width="24.44140625" style="1" bestFit="1" customWidth="1"/>
    <col min="19" max="19" width="12.44140625" style="1"/>
    <col min="20" max="20" width="5" style="1" customWidth="1"/>
    <col min="21" max="21" width="24.77734375" style="1" bestFit="1" customWidth="1"/>
    <col min="22" max="16384" width="12.44140625" style="1"/>
  </cols>
  <sheetData>
    <row r="2" spans="2:22" ht="15" thickBot="1" x14ac:dyDescent="0.35">
      <c r="B2" s="3" t="s">
        <v>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31</v>
      </c>
    </row>
    <row r="3" spans="2:22" ht="15" thickBot="1" x14ac:dyDescent="0.35">
      <c r="B3" s="1" t="s">
        <v>27</v>
      </c>
      <c r="I3" s="1">
        <f>SUM(C3:H3)</f>
        <v>0</v>
      </c>
      <c r="J3" s="2"/>
      <c r="L3" s="23" t="s">
        <v>42</v>
      </c>
      <c r="M3" s="28">
        <f>E27</f>
        <v>0.85</v>
      </c>
      <c r="O3" s="23" t="s">
        <v>42</v>
      </c>
      <c r="P3" s="28">
        <f>E38</f>
        <v>0.65</v>
      </c>
      <c r="R3" s="23" t="s">
        <v>42</v>
      </c>
      <c r="S3" s="28">
        <f>E49</f>
        <v>0.51249999999999996</v>
      </c>
      <c r="U3" s="23" t="s">
        <v>42</v>
      </c>
      <c r="V3" s="28">
        <f>E60</f>
        <v>0.3125</v>
      </c>
    </row>
    <row r="4" spans="2:22" x14ac:dyDescent="0.3">
      <c r="B4" s="1" t="s">
        <v>28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f t="shared" ref="I4:I15" si="0">SUM(C4:H4)</f>
        <v>30</v>
      </c>
      <c r="J4" s="2"/>
      <c r="L4" s="11"/>
      <c r="M4" s="12"/>
      <c r="O4" s="11"/>
      <c r="P4" s="12"/>
      <c r="R4" s="11"/>
      <c r="S4" s="12"/>
      <c r="U4" s="11"/>
      <c r="V4" s="12"/>
    </row>
    <row r="5" spans="2:22" x14ac:dyDescent="0.3">
      <c r="B5" s="1" t="s">
        <v>24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f t="shared" si="0"/>
        <v>30</v>
      </c>
      <c r="J5" s="2"/>
      <c r="L5" s="20" t="s">
        <v>37</v>
      </c>
      <c r="M5" s="13">
        <f>G26</f>
        <v>18205</v>
      </c>
      <c r="O5" s="20" t="s">
        <v>37</v>
      </c>
      <c r="P5" s="13">
        <f>G37</f>
        <v>13905</v>
      </c>
      <c r="R5" s="20" t="s">
        <v>37</v>
      </c>
      <c r="S5" s="13">
        <f>G48</f>
        <v>10975</v>
      </c>
      <c r="U5" s="20" t="s">
        <v>37</v>
      </c>
      <c r="V5" s="13">
        <f>G59</f>
        <v>6710</v>
      </c>
    </row>
    <row r="6" spans="2:22" x14ac:dyDescent="0.3">
      <c r="B6" s="1" t="s">
        <v>25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f t="shared" si="0"/>
        <v>30</v>
      </c>
      <c r="J6" s="2"/>
      <c r="L6" s="20" t="s">
        <v>38</v>
      </c>
      <c r="M6" s="13">
        <v>6702</v>
      </c>
      <c r="O6" s="20" t="s">
        <v>38</v>
      </c>
      <c r="P6" s="13">
        <f>M6</f>
        <v>6702</v>
      </c>
      <c r="R6" s="20" t="s">
        <v>38</v>
      </c>
      <c r="S6" s="13">
        <f>M6</f>
        <v>6702</v>
      </c>
      <c r="U6" s="20" t="s">
        <v>38</v>
      </c>
      <c r="V6" s="13">
        <f>M6</f>
        <v>6702</v>
      </c>
    </row>
    <row r="7" spans="2:22" x14ac:dyDescent="0.3">
      <c r="B7" s="1" t="s">
        <v>26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f t="shared" si="0"/>
        <v>30</v>
      </c>
      <c r="J7" s="2"/>
      <c r="L7" s="20" t="s">
        <v>39</v>
      </c>
      <c r="M7" s="13">
        <f>M5-M6</f>
        <v>11503</v>
      </c>
      <c r="O7" s="20" t="s">
        <v>39</v>
      </c>
      <c r="P7" s="13">
        <f>P5-P6</f>
        <v>7203</v>
      </c>
      <c r="R7" s="20" t="s">
        <v>39</v>
      </c>
      <c r="S7" s="13">
        <f>S5-S6</f>
        <v>4273</v>
      </c>
      <c r="U7" s="20" t="s">
        <v>39</v>
      </c>
      <c r="V7" s="13">
        <f>V5-V6</f>
        <v>8</v>
      </c>
    </row>
    <row r="8" spans="2:22" ht="15" thickBot="1" x14ac:dyDescent="0.35">
      <c r="B8" s="1" t="s">
        <v>29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f t="shared" si="0"/>
        <v>30</v>
      </c>
      <c r="J8" s="2"/>
      <c r="L8" s="20" t="s">
        <v>40</v>
      </c>
      <c r="M8" s="13">
        <f>M7*0.25</f>
        <v>2875.75</v>
      </c>
      <c r="O8" s="20" t="s">
        <v>40</v>
      </c>
      <c r="P8" s="13">
        <f>P7*0.25</f>
        <v>1800.75</v>
      </c>
      <c r="R8" s="20" t="s">
        <v>40</v>
      </c>
      <c r="S8" s="13">
        <f>S7*0.25</f>
        <v>1068.25</v>
      </c>
      <c r="U8" s="20" t="s">
        <v>40</v>
      </c>
      <c r="V8" s="13">
        <f>V7*0.25</f>
        <v>2</v>
      </c>
    </row>
    <row r="9" spans="2:22" ht="15" thickBot="1" x14ac:dyDescent="0.35">
      <c r="B9" s="1" t="s">
        <v>22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f t="shared" si="0"/>
        <v>30</v>
      </c>
      <c r="L9" s="21" t="s">
        <v>41</v>
      </c>
      <c r="M9" s="24">
        <f>M7-M8</f>
        <v>8627.25</v>
      </c>
      <c r="O9" s="21" t="s">
        <v>41</v>
      </c>
      <c r="P9" s="24">
        <f>P7-P8</f>
        <v>5402.25</v>
      </c>
      <c r="R9" s="21" t="s">
        <v>41</v>
      </c>
      <c r="S9" s="24">
        <f>S7-S8</f>
        <v>3204.75</v>
      </c>
      <c r="U9" s="21" t="s">
        <v>41</v>
      </c>
      <c r="V9" s="24">
        <f>V7-V8</f>
        <v>6</v>
      </c>
    </row>
    <row r="10" spans="2:22" x14ac:dyDescent="0.3">
      <c r="B10" s="1" t="s">
        <v>21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f t="shared" si="0"/>
        <v>30</v>
      </c>
    </row>
    <row r="11" spans="2:22" ht="15" thickBot="1" x14ac:dyDescent="0.35">
      <c r="B11" s="1" t="s">
        <v>4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f t="shared" si="0"/>
        <v>30</v>
      </c>
      <c r="J11" s="2"/>
    </row>
    <row r="12" spans="2:22" x14ac:dyDescent="0.3">
      <c r="B12" s="1" t="s">
        <v>5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f t="shared" si="0"/>
        <v>30</v>
      </c>
      <c r="J12" s="2"/>
      <c r="L12" s="23" t="s">
        <v>43</v>
      </c>
      <c r="M12" s="10"/>
      <c r="O12" s="23" t="s">
        <v>43</v>
      </c>
      <c r="P12" s="10"/>
      <c r="R12" s="23" t="s">
        <v>43</v>
      </c>
      <c r="S12" s="10"/>
      <c r="U12" s="23" t="s">
        <v>43</v>
      </c>
      <c r="V12" s="10"/>
    </row>
    <row r="13" spans="2:22" x14ac:dyDescent="0.3">
      <c r="B13" s="1" t="s">
        <v>6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f t="shared" si="0"/>
        <v>30</v>
      </c>
      <c r="J13" s="2"/>
      <c r="L13" s="11"/>
      <c r="M13" s="12"/>
      <c r="O13" s="11"/>
      <c r="P13" s="12"/>
      <c r="R13" s="11"/>
      <c r="S13" s="12"/>
      <c r="U13" s="11"/>
      <c r="V13" s="12"/>
    </row>
    <row r="14" spans="2:22" x14ac:dyDescent="0.3">
      <c r="B14" s="1" t="s">
        <v>7</v>
      </c>
      <c r="I14" s="1">
        <f t="shared" si="0"/>
        <v>0</v>
      </c>
      <c r="J14" s="2"/>
      <c r="L14" s="20" t="s">
        <v>37</v>
      </c>
      <c r="M14" s="13">
        <f>M5*12</f>
        <v>218460</v>
      </c>
      <c r="O14" s="20" t="s">
        <v>37</v>
      </c>
      <c r="P14" s="13">
        <f>P5*12</f>
        <v>166860</v>
      </c>
      <c r="R14" s="20" t="s">
        <v>37</v>
      </c>
      <c r="S14" s="13">
        <f>S5*12</f>
        <v>131700</v>
      </c>
      <c r="U14" s="20" t="s">
        <v>37</v>
      </c>
      <c r="V14" s="13">
        <f>V5*12</f>
        <v>80520</v>
      </c>
    </row>
    <row r="15" spans="2:22" x14ac:dyDescent="0.3">
      <c r="C15" s="1">
        <f t="shared" ref="C15:H15" si="1">SUM(C3:C14)</f>
        <v>50</v>
      </c>
      <c r="D15" s="1">
        <f t="shared" si="1"/>
        <v>50</v>
      </c>
      <c r="E15" s="1">
        <f t="shared" si="1"/>
        <v>50</v>
      </c>
      <c r="F15" s="1">
        <f t="shared" si="1"/>
        <v>50</v>
      </c>
      <c r="G15" s="1">
        <f t="shared" si="1"/>
        <v>50</v>
      </c>
      <c r="H15" s="1">
        <f t="shared" si="1"/>
        <v>50</v>
      </c>
      <c r="I15" s="3">
        <f t="shared" si="0"/>
        <v>300</v>
      </c>
      <c r="J15" s="7" t="s">
        <v>13</v>
      </c>
      <c r="L15" s="20" t="s">
        <v>38</v>
      </c>
      <c r="M15" s="13">
        <f>M6*12</f>
        <v>80424</v>
      </c>
      <c r="O15" s="20" t="s">
        <v>38</v>
      </c>
      <c r="P15" s="13">
        <f>P6*12</f>
        <v>80424</v>
      </c>
      <c r="R15" s="20" t="s">
        <v>38</v>
      </c>
      <c r="S15" s="13">
        <f>S6*12</f>
        <v>80424</v>
      </c>
      <c r="U15" s="20" t="s">
        <v>38</v>
      </c>
      <c r="V15" s="13">
        <f>V6*12</f>
        <v>80424</v>
      </c>
    </row>
    <row r="16" spans="2:22" x14ac:dyDescent="0.3">
      <c r="I16" s="3">
        <f>I15*4</f>
        <v>1200</v>
      </c>
      <c r="J16" s="7" t="s">
        <v>14</v>
      </c>
      <c r="L16" s="20" t="s">
        <v>39</v>
      </c>
      <c r="M16" s="13">
        <f>M14-M15</f>
        <v>138036</v>
      </c>
      <c r="O16" s="20" t="s">
        <v>39</v>
      </c>
      <c r="P16" s="13">
        <f>P14-P15</f>
        <v>86436</v>
      </c>
      <c r="R16" s="20" t="s">
        <v>39</v>
      </c>
      <c r="S16" s="13">
        <f>S14-S15</f>
        <v>51276</v>
      </c>
      <c r="U16" s="20" t="s">
        <v>39</v>
      </c>
      <c r="V16" s="13">
        <f>V14-V15</f>
        <v>96</v>
      </c>
    </row>
    <row r="17" spans="2:22" ht="15" thickBot="1" x14ac:dyDescent="0.35">
      <c r="L17" s="20" t="s">
        <v>40</v>
      </c>
      <c r="M17" s="13">
        <f>M16*0.25</f>
        <v>34509</v>
      </c>
      <c r="O17" s="20" t="s">
        <v>40</v>
      </c>
      <c r="P17" s="13">
        <f>P16*0.25</f>
        <v>21609</v>
      </c>
      <c r="R17" s="20" t="s">
        <v>40</v>
      </c>
      <c r="S17" s="13">
        <f>S16*0.25</f>
        <v>12819</v>
      </c>
      <c r="U17" s="20" t="s">
        <v>40</v>
      </c>
      <c r="V17" s="13">
        <f>V16*0.25</f>
        <v>24</v>
      </c>
    </row>
    <row r="18" spans="2:22" ht="15" thickBot="1" x14ac:dyDescent="0.35">
      <c r="L18" s="21" t="s">
        <v>49</v>
      </c>
      <c r="M18" s="24">
        <f>M16-M17</f>
        <v>103527</v>
      </c>
      <c r="O18" s="21" t="s">
        <v>49</v>
      </c>
      <c r="P18" s="24">
        <f>P16-P17</f>
        <v>64827</v>
      </c>
      <c r="R18" s="21" t="s">
        <v>49</v>
      </c>
      <c r="S18" s="24">
        <f>S16-S17</f>
        <v>38457</v>
      </c>
      <c r="U18" s="21" t="s">
        <v>49</v>
      </c>
      <c r="V18" s="24">
        <f>V16-V17</f>
        <v>72</v>
      </c>
    </row>
    <row r="19" spans="2:22" x14ac:dyDescent="0.3">
      <c r="B19" s="8" t="s">
        <v>108</v>
      </c>
      <c r="C19" s="9">
        <f>SUM(C22:C25)</f>
        <v>166</v>
      </c>
      <c r="D19" s="18"/>
      <c r="E19" s="9"/>
      <c r="F19" s="9"/>
      <c r="G19" s="10"/>
    </row>
    <row r="20" spans="2:22" ht="15" thickBot="1" x14ac:dyDescent="0.35">
      <c r="B20" s="11"/>
      <c r="G20" s="12"/>
    </row>
    <row r="21" spans="2:22" x14ac:dyDescent="0.3">
      <c r="B21" s="11"/>
      <c r="C21" s="3" t="s">
        <v>15</v>
      </c>
      <c r="D21" s="3" t="s">
        <v>16</v>
      </c>
      <c r="E21" s="3" t="s">
        <v>17</v>
      </c>
      <c r="F21" s="3" t="s">
        <v>18</v>
      </c>
      <c r="G21" s="43" t="s">
        <v>20</v>
      </c>
      <c r="L21" s="23" t="s">
        <v>48</v>
      </c>
      <c r="M21" s="10"/>
      <c r="O21" s="23" t="s">
        <v>48</v>
      </c>
      <c r="P21" s="10"/>
      <c r="R21" s="23" t="s">
        <v>48</v>
      </c>
      <c r="S21" s="10"/>
      <c r="U21" s="23" t="s">
        <v>48</v>
      </c>
      <c r="V21" s="10"/>
    </row>
    <row r="22" spans="2:22" x14ac:dyDescent="0.3">
      <c r="B22" s="44" t="s">
        <v>106</v>
      </c>
      <c r="C22" s="1">
        <v>75</v>
      </c>
      <c r="D22" s="1">
        <v>4</v>
      </c>
      <c r="E22" s="1">
        <f>C22*D22</f>
        <v>300</v>
      </c>
      <c r="F22" s="4">
        <v>75</v>
      </c>
      <c r="G22" s="13">
        <f>C22*F22</f>
        <v>5625</v>
      </c>
      <c r="L22" s="11"/>
      <c r="M22" s="12"/>
      <c r="O22" s="11"/>
      <c r="P22" s="12"/>
      <c r="R22" s="11"/>
      <c r="S22" s="12"/>
      <c r="U22" s="11"/>
      <c r="V22" s="12"/>
    </row>
    <row r="23" spans="2:22" x14ac:dyDescent="0.3">
      <c r="B23" s="44" t="s">
        <v>106</v>
      </c>
      <c r="C23" s="1">
        <v>75</v>
      </c>
      <c r="D23" s="1">
        <v>8</v>
      </c>
      <c r="E23" s="1">
        <f>C23*D23</f>
        <v>600</v>
      </c>
      <c r="F23" s="4">
        <v>140</v>
      </c>
      <c r="G23" s="13">
        <f>C23*F23</f>
        <v>10500</v>
      </c>
      <c r="L23" s="20" t="s">
        <v>49</v>
      </c>
      <c r="M23" s="13">
        <f>M18</f>
        <v>103527</v>
      </c>
      <c r="O23" s="20" t="s">
        <v>49</v>
      </c>
      <c r="P23" s="13">
        <f>P18</f>
        <v>64827</v>
      </c>
      <c r="R23" s="20" t="s">
        <v>49</v>
      </c>
      <c r="S23" s="13">
        <f>S18</f>
        <v>38457</v>
      </c>
      <c r="U23" s="20" t="s">
        <v>49</v>
      </c>
      <c r="V23" s="13">
        <f>V18</f>
        <v>72</v>
      </c>
    </row>
    <row r="24" spans="2:22" ht="15" thickBot="1" x14ac:dyDescent="0.35">
      <c r="B24" s="44" t="s">
        <v>107</v>
      </c>
      <c r="C24" s="1">
        <v>8</v>
      </c>
      <c r="D24" s="1">
        <v>5</v>
      </c>
      <c r="E24" s="1">
        <f>C24*D24</f>
        <v>40</v>
      </c>
      <c r="F24" s="4">
        <v>90</v>
      </c>
      <c r="G24" s="13">
        <f>C24*F24</f>
        <v>720</v>
      </c>
      <c r="L24" s="20" t="s">
        <v>50</v>
      </c>
      <c r="M24" s="13">
        <f>M23*(1-20%)</f>
        <v>82821.600000000006</v>
      </c>
      <c r="O24" s="20" t="s">
        <v>50</v>
      </c>
      <c r="P24" s="13">
        <f>P23*(1-20%)</f>
        <v>51861.600000000006</v>
      </c>
      <c r="R24" s="20" t="s">
        <v>50</v>
      </c>
      <c r="S24" s="13">
        <f>S23*(1-20%)</f>
        <v>30765.600000000002</v>
      </c>
      <c r="U24" s="20" t="s">
        <v>50</v>
      </c>
      <c r="V24" s="13">
        <f>V23*(1-20%)</f>
        <v>57.6</v>
      </c>
    </row>
    <row r="25" spans="2:22" ht="15" thickBot="1" x14ac:dyDescent="0.35">
      <c r="B25" s="44" t="s">
        <v>107</v>
      </c>
      <c r="C25" s="1">
        <v>8</v>
      </c>
      <c r="D25" s="1">
        <v>10</v>
      </c>
      <c r="E25" s="1">
        <f>C25*D25</f>
        <v>80</v>
      </c>
      <c r="F25" s="4">
        <v>170</v>
      </c>
      <c r="G25" s="13">
        <f>C25*F25</f>
        <v>1360</v>
      </c>
      <c r="L25" s="20" t="s">
        <v>51</v>
      </c>
      <c r="M25" s="24">
        <f>M$24*0.25</f>
        <v>20705.400000000001</v>
      </c>
      <c r="O25" s="20" t="s">
        <v>51</v>
      </c>
      <c r="P25" s="24">
        <f>P$24*0.25</f>
        <v>12965.400000000001</v>
      </c>
      <c r="R25" s="20" t="s">
        <v>51</v>
      </c>
      <c r="S25" s="24">
        <f>S$24*0.25</f>
        <v>7691.4000000000005</v>
      </c>
      <c r="U25" s="20" t="s">
        <v>51</v>
      </c>
      <c r="V25" s="24">
        <f>V$24*0.25</f>
        <v>14.4</v>
      </c>
    </row>
    <row r="26" spans="2:22" ht="15" thickBot="1" x14ac:dyDescent="0.35">
      <c r="B26" s="11"/>
      <c r="E26" s="3">
        <f>SUM(E22:E25)</f>
        <v>1020</v>
      </c>
      <c r="G26" s="14">
        <f>SUM(G22:G25)</f>
        <v>18205</v>
      </c>
      <c r="L26" s="11" t="s">
        <v>52</v>
      </c>
      <c r="M26" s="24">
        <f>M$24*0.25</f>
        <v>20705.400000000001</v>
      </c>
      <c r="O26" s="11" t="s">
        <v>52</v>
      </c>
      <c r="P26" s="24">
        <f>P$24*0.25</f>
        <v>12965.400000000001</v>
      </c>
      <c r="R26" s="11" t="s">
        <v>52</v>
      </c>
      <c r="S26" s="24">
        <f>S$24*0.25</f>
        <v>7691.4000000000005</v>
      </c>
      <c r="U26" s="11" t="s">
        <v>52</v>
      </c>
      <c r="V26" s="24">
        <f>V$24*0.25</f>
        <v>14.4</v>
      </c>
    </row>
    <row r="27" spans="2:22" ht="15" thickBot="1" x14ac:dyDescent="0.35">
      <c r="B27" s="15"/>
      <c r="C27" s="16"/>
      <c r="D27" s="16"/>
      <c r="E27" s="19">
        <f>E26/$I$16</f>
        <v>0.85</v>
      </c>
      <c r="F27" s="16"/>
      <c r="G27" s="17"/>
      <c r="L27" s="11" t="s">
        <v>53</v>
      </c>
      <c r="M27" s="24">
        <f>M$24*0.25</f>
        <v>20705.400000000001</v>
      </c>
      <c r="O27" s="11" t="s">
        <v>53</v>
      </c>
      <c r="P27" s="24">
        <f>P$24*0.25</f>
        <v>12965.400000000001</v>
      </c>
      <c r="R27" s="11" t="s">
        <v>53</v>
      </c>
      <c r="S27" s="24">
        <f>S$24*0.25</f>
        <v>7691.4000000000005</v>
      </c>
      <c r="U27" s="11" t="s">
        <v>53</v>
      </c>
      <c r="V27" s="24">
        <f>V$24*0.25</f>
        <v>14.4</v>
      </c>
    </row>
    <row r="28" spans="2:22" ht="15" thickBot="1" x14ac:dyDescent="0.35">
      <c r="H28" s="4"/>
      <c r="L28" s="15" t="s">
        <v>54</v>
      </c>
      <c r="M28" s="24">
        <f>M$24*0.25</f>
        <v>20705.400000000001</v>
      </c>
      <c r="O28" s="15" t="s">
        <v>54</v>
      </c>
      <c r="P28" s="24">
        <f>P$24*0.25</f>
        <v>12965.400000000001</v>
      </c>
      <c r="R28" s="15" t="s">
        <v>54</v>
      </c>
      <c r="S28" s="24">
        <f>S$24*0.25</f>
        <v>7691.4000000000005</v>
      </c>
      <c r="U28" s="15" t="s">
        <v>54</v>
      </c>
      <c r="V28" s="24">
        <f>V$24*0.25</f>
        <v>14.4</v>
      </c>
    </row>
    <row r="29" spans="2:22" ht="15" thickBot="1" x14ac:dyDescent="0.35">
      <c r="H29" s="4"/>
    </row>
    <row r="30" spans="2:22" x14ac:dyDescent="0.3">
      <c r="B30" s="8" t="s">
        <v>108</v>
      </c>
      <c r="C30" s="9">
        <f>SUM(C33:C36)</f>
        <v>126</v>
      </c>
      <c r="D30" s="18"/>
      <c r="E30" s="9"/>
      <c r="F30" s="9"/>
      <c r="G30" s="10"/>
      <c r="H30" s="4"/>
    </row>
    <row r="31" spans="2:22" x14ac:dyDescent="0.3">
      <c r="B31" s="11"/>
      <c r="G31" s="12"/>
      <c r="M31" s="4"/>
    </row>
    <row r="32" spans="2:22" x14ac:dyDescent="0.3">
      <c r="B32" s="11"/>
      <c r="C32" s="3" t="s">
        <v>15</v>
      </c>
      <c r="D32" s="3" t="s">
        <v>16</v>
      </c>
      <c r="E32" s="3" t="s">
        <v>17</v>
      </c>
      <c r="F32" s="3" t="s">
        <v>18</v>
      </c>
      <c r="G32" s="43" t="s">
        <v>20</v>
      </c>
      <c r="I32" s="3"/>
      <c r="M32" s="4"/>
    </row>
    <row r="33" spans="2:9" x14ac:dyDescent="0.3">
      <c r="B33" s="44" t="s">
        <v>106</v>
      </c>
      <c r="C33" s="1">
        <v>55</v>
      </c>
      <c r="D33" s="1">
        <v>4</v>
      </c>
      <c r="E33" s="1">
        <f>C33*D33</f>
        <v>220</v>
      </c>
      <c r="F33" s="4">
        <v>75</v>
      </c>
      <c r="G33" s="13">
        <f>C33*F33</f>
        <v>4125</v>
      </c>
      <c r="H33" s="4"/>
      <c r="I33" s="6"/>
    </row>
    <row r="34" spans="2:9" x14ac:dyDescent="0.3">
      <c r="B34" s="44" t="s">
        <v>106</v>
      </c>
      <c r="C34" s="1">
        <v>55</v>
      </c>
      <c r="D34" s="1">
        <v>8</v>
      </c>
      <c r="E34" s="1">
        <f>C34*D34</f>
        <v>440</v>
      </c>
      <c r="F34" s="4">
        <v>140</v>
      </c>
      <c r="G34" s="13">
        <f>C34*F34</f>
        <v>7700</v>
      </c>
      <c r="H34" s="4"/>
      <c r="I34" s="6"/>
    </row>
    <row r="35" spans="2:9" x14ac:dyDescent="0.3">
      <c r="B35" s="44" t="s">
        <v>107</v>
      </c>
      <c r="C35" s="1">
        <v>8</v>
      </c>
      <c r="D35" s="1">
        <v>5</v>
      </c>
      <c r="E35" s="1">
        <f>C35*D35</f>
        <v>40</v>
      </c>
      <c r="F35" s="4">
        <v>90</v>
      </c>
      <c r="G35" s="13">
        <f>C35*F35</f>
        <v>720</v>
      </c>
      <c r="H35" s="4"/>
      <c r="I35" s="6"/>
    </row>
    <row r="36" spans="2:9" x14ac:dyDescent="0.3">
      <c r="B36" s="44" t="s">
        <v>107</v>
      </c>
      <c r="C36" s="1">
        <v>8</v>
      </c>
      <c r="D36" s="1">
        <v>10</v>
      </c>
      <c r="E36" s="1">
        <f>C36*D36</f>
        <v>80</v>
      </c>
      <c r="F36" s="4">
        <v>170</v>
      </c>
      <c r="G36" s="13">
        <f>C36*F36</f>
        <v>1360</v>
      </c>
    </row>
    <row r="37" spans="2:9" x14ac:dyDescent="0.3">
      <c r="B37" s="11"/>
      <c r="E37" s="3">
        <f>SUM(E33:E36)</f>
        <v>780</v>
      </c>
      <c r="G37" s="14">
        <f>SUM(G33:G36)</f>
        <v>13905</v>
      </c>
    </row>
    <row r="38" spans="2:9" ht="15" thickBot="1" x14ac:dyDescent="0.35">
      <c r="B38" s="15"/>
      <c r="C38" s="16"/>
      <c r="D38" s="16"/>
      <c r="E38" s="19">
        <f>E37/$I$16</f>
        <v>0.65</v>
      </c>
      <c r="F38" s="16"/>
      <c r="G38" s="17"/>
    </row>
    <row r="40" spans="2:9" ht="15" thickBot="1" x14ac:dyDescent="0.35"/>
    <row r="41" spans="2:9" x14ac:dyDescent="0.3">
      <c r="B41" s="8" t="s">
        <v>108</v>
      </c>
      <c r="C41" s="9">
        <f>SUM(C44:C47)</f>
        <v>100</v>
      </c>
      <c r="D41" s="18"/>
      <c r="E41" s="9"/>
      <c r="F41" s="9"/>
      <c r="G41" s="10"/>
      <c r="I41" s="1"/>
    </row>
    <row r="42" spans="2:9" x14ac:dyDescent="0.3">
      <c r="B42" s="11"/>
      <c r="G42" s="12"/>
      <c r="I42" s="1"/>
    </row>
    <row r="43" spans="2:9" x14ac:dyDescent="0.3">
      <c r="B43" s="11"/>
      <c r="C43" s="3" t="s">
        <v>15</v>
      </c>
      <c r="D43" s="3" t="s">
        <v>16</v>
      </c>
      <c r="E43" s="3" t="s">
        <v>17</v>
      </c>
      <c r="F43" s="3" t="s">
        <v>18</v>
      </c>
      <c r="G43" s="43" t="s">
        <v>20</v>
      </c>
      <c r="I43" s="1"/>
    </row>
    <row r="44" spans="2:9" x14ac:dyDescent="0.3">
      <c r="B44" s="44" t="s">
        <v>106</v>
      </c>
      <c r="C44" s="1">
        <v>45</v>
      </c>
      <c r="D44" s="1">
        <v>4</v>
      </c>
      <c r="E44" s="1">
        <f>C44*D44</f>
        <v>180</v>
      </c>
      <c r="F44" s="4">
        <v>75</v>
      </c>
      <c r="G44" s="13">
        <f>C44*F44</f>
        <v>3375</v>
      </c>
      <c r="I44" s="1"/>
    </row>
    <row r="45" spans="2:9" x14ac:dyDescent="0.3">
      <c r="B45" s="44" t="s">
        <v>106</v>
      </c>
      <c r="C45" s="1">
        <v>45</v>
      </c>
      <c r="D45" s="1">
        <v>8</v>
      </c>
      <c r="E45" s="1">
        <f>C45*D45</f>
        <v>360</v>
      </c>
      <c r="F45" s="4">
        <v>140</v>
      </c>
      <c r="G45" s="13">
        <f>C45*F45</f>
        <v>6300</v>
      </c>
      <c r="I45" s="1"/>
    </row>
    <row r="46" spans="2:9" x14ac:dyDescent="0.3">
      <c r="B46" s="44" t="s">
        <v>107</v>
      </c>
      <c r="C46" s="1">
        <v>5</v>
      </c>
      <c r="D46" s="1">
        <v>5</v>
      </c>
      <c r="E46" s="1">
        <f>C46*D46</f>
        <v>25</v>
      </c>
      <c r="F46" s="4">
        <v>90</v>
      </c>
      <c r="G46" s="13">
        <f>C46*F46</f>
        <v>450</v>
      </c>
      <c r="I46" s="1"/>
    </row>
    <row r="47" spans="2:9" x14ac:dyDescent="0.3">
      <c r="B47" s="44" t="s">
        <v>107</v>
      </c>
      <c r="C47" s="1">
        <v>5</v>
      </c>
      <c r="D47" s="1">
        <v>10</v>
      </c>
      <c r="E47" s="1">
        <f>C47*D47</f>
        <v>50</v>
      </c>
      <c r="F47" s="4">
        <v>170</v>
      </c>
      <c r="G47" s="13">
        <f>C47*F47</f>
        <v>850</v>
      </c>
      <c r="I47" s="1"/>
    </row>
    <row r="48" spans="2:9" x14ac:dyDescent="0.3">
      <c r="B48" s="11"/>
      <c r="E48" s="3">
        <f>SUM(E44:E47)</f>
        <v>615</v>
      </c>
      <c r="G48" s="14">
        <f>SUM(G44:G47)</f>
        <v>10975</v>
      </c>
    </row>
    <row r="49" spans="2:7" ht="15" thickBot="1" x14ac:dyDescent="0.35">
      <c r="B49" s="15"/>
      <c r="C49" s="16"/>
      <c r="D49" s="16"/>
      <c r="E49" s="19">
        <f>E48/$I$16</f>
        <v>0.51249999999999996</v>
      </c>
      <c r="F49" s="16"/>
      <c r="G49" s="17"/>
    </row>
    <row r="51" spans="2:7" ht="15" thickBot="1" x14ac:dyDescent="0.35"/>
    <row r="52" spans="2:7" x14ac:dyDescent="0.3">
      <c r="B52" s="8" t="s">
        <v>108</v>
      </c>
      <c r="C52" s="9">
        <f>SUM(C55:C58)</f>
        <v>62</v>
      </c>
      <c r="D52" s="36" t="s">
        <v>72</v>
      </c>
      <c r="E52" s="9"/>
      <c r="F52" s="9"/>
      <c r="G52" s="10"/>
    </row>
    <row r="53" spans="2:7" x14ac:dyDescent="0.3">
      <c r="B53" s="11"/>
      <c r="G53" s="12"/>
    </row>
    <row r="54" spans="2:7" x14ac:dyDescent="0.3">
      <c r="B54" s="11"/>
      <c r="C54" s="3" t="s">
        <v>15</v>
      </c>
      <c r="D54" s="3" t="s">
        <v>16</v>
      </c>
      <c r="E54" s="3" t="s">
        <v>17</v>
      </c>
      <c r="F54" s="3" t="s">
        <v>18</v>
      </c>
      <c r="G54" s="43" t="s">
        <v>20</v>
      </c>
    </row>
    <row r="55" spans="2:7" x14ac:dyDescent="0.3">
      <c r="B55" s="44" t="s">
        <v>106</v>
      </c>
      <c r="C55" s="1">
        <v>30</v>
      </c>
      <c r="D55" s="1">
        <v>4</v>
      </c>
      <c r="E55" s="1">
        <f>C55*D55</f>
        <v>120</v>
      </c>
      <c r="F55" s="4">
        <v>75</v>
      </c>
      <c r="G55" s="13">
        <f>C55*F55</f>
        <v>2250</v>
      </c>
    </row>
    <row r="56" spans="2:7" x14ac:dyDescent="0.3">
      <c r="B56" s="44" t="s">
        <v>106</v>
      </c>
      <c r="C56" s="1">
        <v>30</v>
      </c>
      <c r="D56" s="1">
        <v>8</v>
      </c>
      <c r="E56" s="1">
        <f>C56*D56</f>
        <v>240</v>
      </c>
      <c r="F56" s="4">
        <v>140</v>
      </c>
      <c r="G56" s="13">
        <f>C56*F56</f>
        <v>4200</v>
      </c>
    </row>
    <row r="57" spans="2:7" x14ac:dyDescent="0.3">
      <c r="B57" s="44" t="s">
        <v>107</v>
      </c>
      <c r="C57" s="1">
        <v>1</v>
      </c>
      <c r="D57" s="1">
        <v>5</v>
      </c>
      <c r="E57" s="1">
        <f>C57*D57</f>
        <v>5</v>
      </c>
      <c r="F57" s="4">
        <v>90</v>
      </c>
      <c r="G57" s="13">
        <f>C57*F57</f>
        <v>90</v>
      </c>
    </row>
    <row r="58" spans="2:7" x14ac:dyDescent="0.3">
      <c r="B58" s="44" t="s">
        <v>107</v>
      </c>
      <c r="C58" s="1">
        <v>1</v>
      </c>
      <c r="D58" s="1">
        <v>10</v>
      </c>
      <c r="E58" s="1">
        <f>C58*D58</f>
        <v>10</v>
      </c>
      <c r="F58" s="4">
        <v>170</v>
      </c>
      <c r="G58" s="13">
        <f>C58*F58</f>
        <v>170</v>
      </c>
    </row>
    <row r="59" spans="2:7" x14ac:dyDescent="0.3">
      <c r="B59" s="11"/>
      <c r="E59" s="3">
        <f>SUM(E55:E58)</f>
        <v>375</v>
      </c>
      <c r="G59" s="14">
        <f>SUM(G55:G58)</f>
        <v>6710</v>
      </c>
    </row>
    <row r="60" spans="2:7" ht="15" thickBot="1" x14ac:dyDescent="0.35">
      <c r="B60" s="15"/>
      <c r="C60" s="16"/>
      <c r="D60" s="16"/>
      <c r="E60" s="19">
        <f>E59/$I$16</f>
        <v>0.3125</v>
      </c>
      <c r="F60" s="16"/>
      <c r="G60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C275-2962-4D63-8F14-EB3CE4004509}">
  <dimension ref="B2:V60"/>
  <sheetViews>
    <sheetView zoomScale="84" workbookViewId="0">
      <selection activeCell="L22" sqref="L22"/>
    </sheetView>
  </sheetViews>
  <sheetFormatPr baseColWidth="10" defaultColWidth="12.44140625" defaultRowHeight="14.4" x14ac:dyDescent="0.3"/>
  <cols>
    <col min="1" max="1" width="12.44140625" style="1"/>
    <col min="2" max="2" width="13.44140625" style="1" bestFit="1" customWidth="1"/>
    <col min="3" max="8" width="12.44140625" style="1"/>
    <col min="9" max="9" width="12.44140625" style="2"/>
    <col min="10" max="11" width="12.44140625" style="1"/>
    <col min="12" max="12" width="24.44140625" style="1" bestFit="1" customWidth="1"/>
    <col min="13" max="13" width="12.44140625" style="1"/>
    <col min="14" max="14" width="6.33203125" style="1" customWidth="1"/>
    <col min="15" max="15" width="24.44140625" style="1" bestFit="1" customWidth="1"/>
    <col min="16" max="16" width="12.44140625" style="1"/>
    <col min="17" max="17" width="4.109375" style="1" customWidth="1"/>
    <col min="18" max="18" width="24.44140625" style="1" bestFit="1" customWidth="1"/>
    <col min="19" max="19" width="12.44140625" style="1"/>
    <col min="20" max="20" width="5" style="1" customWidth="1"/>
    <col min="21" max="21" width="24.77734375" style="1" bestFit="1" customWidth="1"/>
    <col min="22" max="16384" width="12.44140625" style="1"/>
  </cols>
  <sheetData>
    <row r="2" spans="2:22" ht="15" thickBot="1" x14ac:dyDescent="0.35">
      <c r="B2" s="3" t="s">
        <v>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31</v>
      </c>
    </row>
    <row r="3" spans="2:22" ht="15" thickBot="1" x14ac:dyDescent="0.35">
      <c r="B3" s="1" t="s">
        <v>222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f>SUM(C3:H3)</f>
        <v>30</v>
      </c>
      <c r="J3" s="2"/>
      <c r="L3" s="23" t="s">
        <v>42</v>
      </c>
      <c r="M3" s="28">
        <f>E27</f>
        <v>0.85416666666666663</v>
      </c>
      <c r="O3" s="23" t="s">
        <v>42</v>
      </c>
      <c r="P3" s="28">
        <f>E38</f>
        <v>0.54166666666666663</v>
      </c>
      <c r="R3" s="23" t="s">
        <v>42</v>
      </c>
      <c r="S3" s="28">
        <f>E49</f>
        <v>0.42708333333333331</v>
      </c>
      <c r="U3" s="23" t="s">
        <v>42</v>
      </c>
      <c r="V3" s="28">
        <f>E60</f>
        <v>0.32291666666666669</v>
      </c>
    </row>
    <row r="4" spans="2:22" x14ac:dyDescent="0.3">
      <c r="B4" s="1" t="s">
        <v>223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f t="shared" ref="I4:I14" si="0">SUM(C4:H4)</f>
        <v>30</v>
      </c>
      <c r="J4" s="2"/>
      <c r="L4" s="11"/>
      <c r="M4" s="12"/>
      <c r="O4" s="11"/>
      <c r="P4" s="12"/>
      <c r="R4" s="11"/>
      <c r="S4" s="12"/>
      <c r="U4" s="11"/>
      <c r="V4" s="12"/>
    </row>
    <row r="5" spans="2:22" x14ac:dyDescent="0.3">
      <c r="B5" s="1" t="s">
        <v>224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f t="shared" si="0"/>
        <v>30</v>
      </c>
      <c r="J5" s="2"/>
      <c r="L5" s="20" t="s">
        <v>37</v>
      </c>
      <c r="M5" s="13">
        <f>G26</f>
        <v>21950</v>
      </c>
      <c r="O5" s="20" t="s">
        <v>37</v>
      </c>
      <c r="P5" s="13">
        <f>G37</f>
        <v>13905</v>
      </c>
      <c r="R5" s="20" t="s">
        <v>37</v>
      </c>
      <c r="S5" s="13">
        <f>G48</f>
        <v>10975</v>
      </c>
      <c r="U5" s="20" t="s">
        <v>37</v>
      </c>
      <c r="V5" s="13">
        <f>G59</f>
        <v>8305</v>
      </c>
    </row>
    <row r="6" spans="2:22" x14ac:dyDescent="0.3">
      <c r="B6" s="1" t="s">
        <v>24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f t="shared" si="0"/>
        <v>30</v>
      </c>
      <c r="J6" s="2"/>
      <c r="L6" s="20" t="s">
        <v>38</v>
      </c>
      <c r="M6" s="13">
        <v>8226</v>
      </c>
      <c r="O6" s="20" t="s">
        <v>38</v>
      </c>
      <c r="P6" s="13">
        <f>M6</f>
        <v>8226</v>
      </c>
      <c r="R6" s="20" t="s">
        <v>38</v>
      </c>
      <c r="S6" s="13">
        <f>M6</f>
        <v>8226</v>
      </c>
      <c r="U6" s="20" t="s">
        <v>38</v>
      </c>
      <c r="V6" s="13">
        <f>M6</f>
        <v>8226</v>
      </c>
    </row>
    <row r="7" spans="2:22" x14ac:dyDescent="0.3">
      <c r="B7" s="1" t="s">
        <v>25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f t="shared" si="0"/>
        <v>30</v>
      </c>
      <c r="J7" s="2"/>
      <c r="L7" s="20" t="s">
        <v>39</v>
      </c>
      <c r="M7" s="13">
        <f>M5-M6</f>
        <v>13724</v>
      </c>
      <c r="O7" s="20" t="s">
        <v>39</v>
      </c>
      <c r="P7" s="13">
        <f>P5-P6</f>
        <v>5679</v>
      </c>
      <c r="R7" s="20" t="s">
        <v>39</v>
      </c>
      <c r="S7" s="13">
        <f>S5-S6</f>
        <v>2749</v>
      </c>
      <c r="U7" s="20" t="s">
        <v>39</v>
      </c>
      <c r="V7" s="13">
        <f>V5-V6</f>
        <v>79</v>
      </c>
    </row>
    <row r="8" spans="2:22" ht="15" thickBot="1" x14ac:dyDescent="0.35">
      <c r="B8" s="1" t="s">
        <v>26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f t="shared" si="0"/>
        <v>30</v>
      </c>
      <c r="J8" s="2"/>
      <c r="L8" s="20" t="s">
        <v>40</v>
      </c>
      <c r="M8" s="13">
        <f>M7*0.25</f>
        <v>3431</v>
      </c>
      <c r="O8" s="20" t="s">
        <v>40</v>
      </c>
      <c r="P8" s="13">
        <f>P7*0.25</f>
        <v>1419.75</v>
      </c>
      <c r="R8" s="20" t="s">
        <v>40</v>
      </c>
      <c r="S8" s="13">
        <f>S7*0.25</f>
        <v>687.25</v>
      </c>
      <c r="U8" s="20" t="s">
        <v>40</v>
      </c>
      <c r="V8" s="13">
        <f>V7*0.25</f>
        <v>19.75</v>
      </c>
    </row>
    <row r="9" spans="2:22" ht="15" thickBot="1" x14ac:dyDescent="0.35">
      <c r="B9" s="1" t="s">
        <v>29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f t="shared" si="0"/>
        <v>30</v>
      </c>
      <c r="L9" s="21" t="s">
        <v>41</v>
      </c>
      <c r="M9" s="24">
        <f>M7-M8</f>
        <v>10293</v>
      </c>
      <c r="O9" s="21" t="s">
        <v>41</v>
      </c>
      <c r="P9" s="24">
        <f>P7-P8</f>
        <v>4259.25</v>
      </c>
      <c r="R9" s="21" t="s">
        <v>41</v>
      </c>
      <c r="S9" s="24">
        <f>S7-S8</f>
        <v>2061.75</v>
      </c>
      <c r="U9" s="21" t="s">
        <v>41</v>
      </c>
      <c r="V9" s="24">
        <f>V7-V8</f>
        <v>59.25</v>
      </c>
    </row>
    <row r="10" spans="2:22" x14ac:dyDescent="0.3">
      <c r="I10" s="1">
        <f t="shared" si="0"/>
        <v>0</v>
      </c>
    </row>
    <row r="11" spans="2:22" ht="15" thickBot="1" x14ac:dyDescent="0.35">
      <c r="B11" s="1" t="s">
        <v>21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f t="shared" si="0"/>
        <v>30</v>
      </c>
      <c r="J11" s="2"/>
    </row>
    <row r="12" spans="2:22" x14ac:dyDescent="0.3">
      <c r="B12" s="1" t="s">
        <v>4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f t="shared" si="0"/>
        <v>30</v>
      </c>
      <c r="J12" s="2"/>
      <c r="L12" s="23" t="s">
        <v>43</v>
      </c>
      <c r="M12" s="10"/>
      <c r="O12" s="23" t="s">
        <v>43</v>
      </c>
      <c r="P12" s="10"/>
      <c r="R12" s="23" t="s">
        <v>43</v>
      </c>
      <c r="S12" s="10"/>
      <c r="U12" s="23" t="s">
        <v>43</v>
      </c>
      <c r="V12" s="10"/>
    </row>
    <row r="13" spans="2:22" x14ac:dyDescent="0.3">
      <c r="B13" s="1" t="s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f t="shared" si="0"/>
        <v>30</v>
      </c>
      <c r="J13" s="2"/>
      <c r="L13" s="11"/>
      <c r="M13" s="12"/>
      <c r="O13" s="11"/>
      <c r="P13" s="12"/>
      <c r="R13" s="11"/>
      <c r="S13" s="12"/>
      <c r="U13" s="11"/>
      <c r="V13" s="12"/>
    </row>
    <row r="14" spans="2:22" x14ac:dyDescent="0.3">
      <c r="B14" s="1" t="s">
        <v>6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f t="shared" si="0"/>
        <v>30</v>
      </c>
      <c r="J14" s="2"/>
      <c r="L14" s="20" t="s">
        <v>37</v>
      </c>
      <c r="M14" s="13">
        <f>M5*12</f>
        <v>263400</v>
      </c>
      <c r="O14" s="20" t="s">
        <v>37</v>
      </c>
      <c r="P14" s="13">
        <f>P5*12</f>
        <v>166860</v>
      </c>
      <c r="R14" s="20" t="s">
        <v>37</v>
      </c>
      <c r="S14" s="13">
        <f>S5*12</f>
        <v>131700</v>
      </c>
      <c r="U14" s="20" t="s">
        <v>37</v>
      </c>
      <c r="V14" s="13">
        <f>V5*12</f>
        <v>99660</v>
      </c>
    </row>
    <row r="15" spans="2:22" x14ac:dyDescent="0.3">
      <c r="B15" s="1" t="s">
        <v>7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f>SUM(C15:H15)</f>
        <v>30</v>
      </c>
      <c r="L15" s="20" t="s">
        <v>38</v>
      </c>
      <c r="M15" s="13">
        <f>M6*12</f>
        <v>98712</v>
      </c>
      <c r="O15" s="20" t="s">
        <v>38</v>
      </c>
      <c r="P15" s="13">
        <f>P6*12</f>
        <v>98712</v>
      </c>
      <c r="R15" s="20" t="s">
        <v>38</v>
      </c>
      <c r="S15" s="13">
        <f>S6*12</f>
        <v>98712</v>
      </c>
      <c r="U15" s="20" t="s">
        <v>38</v>
      </c>
      <c r="V15" s="13">
        <f>V6*12</f>
        <v>98712</v>
      </c>
    </row>
    <row r="16" spans="2:22" x14ac:dyDescent="0.3">
      <c r="C16" s="1">
        <f t="shared" ref="C16:H16" si="1">SUM(C3:C15)</f>
        <v>60</v>
      </c>
      <c r="D16" s="1">
        <f t="shared" si="1"/>
        <v>60</v>
      </c>
      <c r="E16" s="1">
        <f t="shared" si="1"/>
        <v>60</v>
      </c>
      <c r="F16" s="1">
        <f t="shared" si="1"/>
        <v>60</v>
      </c>
      <c r="G16" s="1">
        <f t="shared" si="1"/>
        <v>60</v>
      </c>
      <c r="H16" s="1">
        <f t="shared" si="1"/>
        <v>60</v>
      </c>
      <c r="I16" s="3">
        <f>SUM(C16:H16)</f>
        <v>360</v>
      </c>
      <c r="J16" s="7" t="s">
        <v>13</v>
      </c>
      <c r="L16" s="20" t="s">
        <v>39</v>
      </c>
      <c r="M16" s="13">
        <f>M14-M15</f>
        <v>164688</v>
      </c>
      <c r="O16" s="20" t="s">
        <v>39</v>
      </c>
      <c r="P16" s="13">
        <f>P14-P15</f>
        <v>68148</v>
      </c>
      <c r="R16" s="20" t="s">
        <v>39</v>
      </c>
      <c r="S16" s="13">
        <f>S14-S15</f>
        <v>32988</v>
      </c>
      <c r="U16" s="20" t="s">
        <v>39</v>
      </c>
      <c r="V16" s="13">
        <f>V14-V15</f>
        <v>948</v>
      </c>
    </row>
    <row r="17" spans="2:22" ht="15" thickBot="1" x14ac:dyDescent="0.35">
      <c r="I17" s="3">
        <f>I16*4</f>
        <v>1440</v>
      </c>
      <c r="J17" s="7" t="s">
        <v>14</v>
      </c>
      <c r="L17" s="20" t="s">
        <v>40</v>
      </c>
      <c r="M17" s="13">
        <f>M16*0.25</f>
        <v>41172</v>
      </c>
      <c r="O17" s="20" t="s">
        <v>40</v>
      </c>
      <c r="P17" s="13">
        <f>P16*0.25</f>
        <v>17037</v>
      </c>
      <c r="R17" s="20" t="s">
        <v>40</v>
      </c>
      <c r="S17" s="13">
        <f>S16*0.25</f>
        <v>8247</v>
      </c>
      <c r="U17" s="20" t="s">
        <v>40</v>
      </c>
      <c r="V17" s="13">
        <f>V16*0.25</f>
        <v>237</v>
      </c>
    </row>
    <row r="18" spans="2:22" ht="15" thickBot="1" x14ac:dyDescent="0.35">
      <c r="L18" s="21" t="s">
        <v>49</v>
      </c>
      <c r="M18" s="24">
        <f>M16-M17</f>
        <v>123516</v>
      </c>
      <c r="O18" s="21" t="s">
        <v>49</v>
      </c>
      <c r="P18" s="24">
        <f>P16-P17</f>
        <v>51111</v>
      </c>
      <c r="R18" s="21" t="s">
        <v>49</v>
      </c>
      <c r="S18" s="24">
        <f>S16-S17</f>
        <v>24741</v>
      </c>
      <c r="U18" s="21" t="s">
        <v>49</v>
      </c>
      <c r="V18" s="24">
        <f>V16-V17</f>
        <v>711</v>
      </c>
    </row>
    <row r="19" spans="2:22" x14ac:dyDescent="0.3">
      <c r="B19" s="8" t="s">
        <v>108</v>
      </c>
      <c r="C19" s="9">
        <f>SUM(C22:C25)</f>
        <v>200</v>
      </c>
      <c r="D19" s="18"/>
      <c r="E19" s="9"/>
      <c r="F19" s="9"/>
      <c r="G19" s="10"/>
    </row>
    <row r="20" spans="2:22" ht="15" thickBot="1" x14ac:dyDescent="0.35">
      <c r="B20" s="11"/>
      <c r="G20" s="12"/>
    </row>
    <row r="21" spans="2:22" x14ac:dyDescent="0.3">
      <c r="B21" s="11"/>
      <c r="C21" s="3" t="s">
        <v>15</v>
      </c>
      <c r="D21" s="3" t="s">
        <v>16</v>
      </c>
      <c r="E21" s="3" t="s">
        <v>17</v>
      </c>
      <c r="F21" s="3" t="s">
        <v>18</v>
      </c>
      <c r="G21" s="43" t="s">
        <v>20</v>
      </c>
      <c r="L21" s="23" t="s">
        <v>48</v>
      </c>
      <c r="M21" s="10"/>
      <c r="O21" s="23" t="s">
        <v>48</v>
      </c>
      <c r="P21" s="10"/>
      <c r="R21" s="23" t="s">
        <v>48</v>
      </c>
      <c r="S21" s="10"/>
      <c r="U21" s="23" t="s">
        <v>48</v>
      </c>
      <c r="V21" s="10"/>
    </row>
    <row r="22" spans="2:22" x14ac:dyDescent="0.3">
      <c r="B22" s="44" t="s">
        <v>106</v>
      </c>
      <c r="C22" s="1">
        <v>90</v>
      </c>
      <c r="D22" s="1">
        <v>4</v>
      </c>
      <c r="E22" s="1">
        <f>C22*D22</f>
        <v>360</v>
      </c>
      <c r="F22" s="4">
        <v>75</v>
      </c>
      <c r="G22" s="13">
        <f>C22*F22</f>
        <v>6750</v>
      </c>
      <c r="L22" s="11"/>
      <c r="M22" s="12"/>
      <c r="O22" s="11"/>
      <c r="P22" s="12"/>
      <c r="R22" s="11"/>
      <c r="S22" s="12"/>
      <c r="U22" s="11"/>
      <c r="V22" s="12"/>
    </row>
    <row r="23" spans="2:22" x14ac:dyDescent="0.3">
      <c r="B23" s="44" t="s">
        <v>106</v>
      </c>
      <c r="C23" s="1">
        <v>90</v>
      </c>
      <c r="D23" s="1">
        <v>8</v>
      </c>
      <c r="E23" s="1">
        <f>C23*D23</f>
        <v>720</v>
      </c>
      <c r="F23" s="4">
        <v>140</v>
      </c>
      <c r="G23" s="13">
        <f>C23*F23</f>
        <v>12600</v>
      </c>
      <c r="L23" s="20" t="s">
        <v>49</v>
      </c>
      <c r="M23" s="13">
        <f>M18</f>
        <v>123516</v>
      </c>
      <c r="O23" s="20" t="s">
        <v>49</v>
      </c>
      <c r="P23" s="13">
        <f>P18</f>
        <v>51111</v>
      </c>
      <c r="R23" s="20" t="s">
        <v>49</v>
      </c>
      <c r="S23" s="13">
        <f>S18</f>
        <v>24741</v>
      </c>
      <c r="U23" s="20" t="s">
        <v>49</v>
      </c>
      <c r="V23" s="13">
        <f>V18</f>
        <v>711</v>
      </c>
    </row>
    <row r="24" spans="2:22" ht="15" thickBot="1" x14ac:dyDescent="0.35">
      <c r="B24" s="44" t="s">
        <v>107</v>
      </c>
      <c r="C24" s="1">
        <v>10</v>
      </c>
      <c r="D24" s="1">
        <v>5</v>
      </c>
      <c r="E24" s="1">
        <f>C24*D24</f>
        <v>50</v>
      </c>
      <c r="F24" s="4">
        <v>90</v>
      </c>
      <c r="G24" s="13">
        <f>C24*F24</f>
        <v>900</v>
      </c>
      <c r="L24" s="20" t="s">
        <v>50</v>
      </c>
      <c r="M24" s="13">
        <f>M23*(1-20%)</f>
        <v>98812.800000000003</v>
      </c>
      <c r="O24" s="20" t="s">
        <v>50</v>
      </c>
      <c r="P24" s="13">
        <f>P23*(1-20%)</f>
        <v>40888.800000000003</v>
      </c>
      <c r="R24" s="20" t="s">
        <v>50</v>
      </c>
      <c r="S24" s="13">
        <f>S23*(1-20%)</f>
        <v>19792.800000000003</v>
      </c>
      <c r="U24" s="20" t="s">
        <v>50</v>
      </c>
      <c r="V24" s="13">
        <f>V23*(1-20%)</f>
        <v>568.80000000000007</v>
      </c>
    </row>
    <row r="25" spans="2:22" ht="15" thickBot="1" x14ac:dyDescent="0.35">
      <c r="B25" s="44" t="s">
        <v>107</v>
      </c>
      <c r="C25" s="1">
        <v>10</v>
      </c>
      <c r="D25" s="1">
        <v>10</v>
      </c>
      <c r="E25" s="1">
        <f>C25*D25</f>
        <v>100</v>
      </c>
      <c r="F25" s="4">
        <v>170</v>
      </c>
      <c r="G25" s="13">
        <f>C25*F25</f>
        <v>1700</v>
      </c>
      <c r="L25" s="20" t="s">
        <v>51</v>
      </c>
      <c r="M25" s="24">
        <f>M$24*0.25</f>
        <v>24703.200000000001</v>
      </c>
      <c r="O25" s="20" t="s">
        <v>51</v>
      </c>
      <c r="P25" s="24">
        <f>P$24*0.25</f>
        <v>10222.200000000001</v>
      </c>
      <c r="R25" s="20" t="s">
        <v>51</v>
      </c>
      <c r="S25" s="24">
        <f>S$24*0.25</f>
        <v>4948.2000000000007</v>
      </c>
      <c r="U25" s="20" t="s">
        <v>51</v>
      </c>
      <c r="V25" s="24">
        <f>V$24*0.25</f>
        <v>142.20000000000002</v>
      </c>
    </row>
    <row r="26" spans="2:22" ht="15" thickBot="1" x14ac:dyDescent="0.35">
      <c r="B26" s="11"/>
      <c r="E26" s="3">
        <f>SUM(E22:E25)</f>
        <v>1230</v>
      </c>
      <c r="G26" s="14">
        <f>SUM(G22:G25)</f>
        <v>21950</v>
      </c>
      <c r="L26" s="11" t="s">
        <v>52</v>
      </c>
      <c r="M26" s="24">
        <f>M$24*0.25</f>
        <v>24703.200000000001</v>
      </c>
      <c r="O26" s="11" t="s">
        <v>52</v>
      </c>
      <c r="P26" s="24">
        <f>P$24*0.25</f>
        <v>10222.200000000001</v>
      </c>
      <c r="R26" s="11" t="s">
        <v>52</v>
      </c>
      <c r="S26" s="24">
        <f>S$24*0.25</f>
        <v>4948.2000000000007</v>
      </c>
      <c r="U26" s="11" t="s">
        <v>52</v>
      </c>
      <c r="V26" s="24">
        <f>V$24*0.25</f>
        <v>142.20000000000002</v>
      </c>
    </row>
    <row r="27" spans="2:22" ht="15" thickBot="1" x14ac:dyDescent="0.35">
      <c r="B27" s="15"/>
      <c r="C27" s="16"/>
      <c r="D27" s="16"/>
      <c r="E27" s="19">
        <f>E26/$I$17</f>
        <v>0.85416666666666663</v>
      </c>
      <c r="F27" s="16"/>
      <c r="G27" s="17"/>
      <c r="L27" s="11" t="s">
        <v>53</v>
      </c>
      <c r="M27" s="24">
        <f>M$24*0.25</f>
        <v>24703.200000000001</v>
      </c>
      <c r="O27" s="11" t="s">
        <v>53</v>
      </c>
      <c r="P27" s="24">
        <f>P$24*0.25</f>
        <v>10222.200000000001</v>
      </c>
      <c r="R27" s="11" t="s">
        <v>53</v>
      </c>
      <c r="S27" s="24">
        <f>S$24*0.25</f>
        <v>4948.2000000000007</v>
      </c>
      <c r="U27" s="11" t="s">
        <v>53</v>
      </c>
      <c r="V27" s="24">
        <f>V$24*0.25</f>
        <v>142.20000000000002</v>
      </c>
    </row>
    <row r="28" spans="2:22" ht="15" thickBot="1" x14ac:dyDescent="0.35">
      <c r="H28" s="4"/>
      <c r="L28" s="15" t="s">
        <v>54</v>
      </c>
      <c r="M28" s="24">
        <f>M$24*0.25</f>
        <v>24703.200000000001</v>
      </c>
      <c r="O28" s="15" t="s">
        <v>54</v>
      </c>
      <c r="P28" s="24">
        <f>P$24*0.25</f>
        <v>10222.200000000001</v>
      </c>
      <c r="R28" s="15" t="s">
        <v>54</v>
      </c>
      <c r="S28" s="24">
        <f>S$24*0.25</f>
        <v>4948.2000000000007</v>
      </c>
      <c r="U28" s="15" t="s">
        <v>54</v>
      </c>
      <c r="V28" s="24">
        <f>V$24*0.25</f>
        <v>142.20000000000002</v>
      </c>
    </row>
    <row r="29" spans="2:22" ht="15" thickBot="1" x14ac:dyDescent="0.35">
      <c r="H29" s="4"/>
    </row>
    <row r="30" spans="2:22" x14ac:dyDescent="0.3">
      <c r="B30" s="8" t="s">
        <v>108</v>
      </c>
      <c r="C30" s="9">
        <f>SUM(C33:C36)</f>
        <v>126</v>
      </c>
      <c r="D30" s="18"/>
      <c r="E30" s="9"/>
      <c r="F30" s="9"/>
      <c r="G30" s="10"/>
      <c r="H30" s="4"/>
    </row>
    <row r="31" spans="2:22" x14ac:dyDescent="0.3">
      <c r="B31" s="11"/>
      <c r="G31" s="12"/>
      <c r="M31" s="4"/>
    </row>
    <row r="32" spans="2:22" x14ac:dyDescent="0.3">
      <c r="B32" s="11"/>
      <c r="C32" s="3" t="s">
        <v>15</v>
      </c>
      <c r="D32" s="3" t="s">
        <v>16</v>
      </c>
      <c r="E32" s="3" t="s">
        <v>17</v>
      </c>
      <c r="F32" s="3" t="s">
        <v>18</v>
      </c>
      <c r="G32" s="43" t="s">
        <v>20</v>
      </c>
      <c r="I32" s="3"/>
      <c r="M32" s="4"/>
    </row>
    <row r="33" spans="2:9" x14ac:dyDescent="0.3">
      <c r="B33" s="44" t="s">
        <v>106</v>
      </c>
      <c r="C33" s="1">
        <v>55</v>
      </c>
      <c r="D33" s="1">
        <v>4</v>
      </c>
      <c r="E33" s="1">
        <f>C33*D33</f>
        <v>220</v>
      </c>
      <c r="F33" s="4">
        <v>75</v>
      </c>
      <c r="G33" s="13">
        <f>C33*F33</f>
        <v>4125</v>
      </c>
      <c r="H33" s="4"/>
      <c r="I33" s="6"/>
    </row>
    <row r="34" spans="2:9" x14ac:dyDescent="0.3">
      <c r="B34" s="44" t="s">
        <v>106</v>
      </c>
      <c r="C34" s="1">
        <v>55</v>
      </c>
      <c r="D34" s="1">
        <v>8</v>
      </c>
      <c r="E34" s="1">
        <f>C34*D34</f>
        <v>440</v>
      </c>
      <c r="F34" s="4">
        <v>140</v>
      </c>
      <c r="G34" s="13">
        <f>C34*F34</f>
        <v>7700</v>
      </c>
      <c r="H34" s="4"/>
      <c r="I34" s="6"/>
    </row>
    <row r="35" spans="2:9" x14ac:dyDescent="0.3">
      <c r="B35" s="44" t="s">
        <v>107</v>
      </c>
      <c r="C35" s="1">
        <v>8</v>
      </c>
      <c r="D35" s="1">
        <v>5</v>
      </c>
      <c r="E35" s="1">
        <f>C35*D35</f>
        <v>40</v>
      </c>
      <c r="F35" s="4">
        <v>90</v>
      </c>
      <c r="G35" s="13">
        <f>C35*F35</f>
        <v>720</v>
      </c>
      <c r="H35" s="4"/>
      <c r="I35" s="6"/>
    </row>
    <row r="36" spans="2:9" x14ac:dyDescent="0.3">
      <c r="B36" s="44" t="s">
        <v>107</v>
      </c>
      <c r="C36" s="1">
        <v>8</v>
      </c>
      <c r="D36" s="1">
        <v>10</v>
      </c>
      <c r="E36" s="1">
        <f>C36*D36</f>
        <v>80</v>
      </c>
      <c r="F36" s="4">
        <v>170</v>
      </c>
      <c r="G36" s="13">
        <f>C36*F36</f>
        <v>1360</v>
      </c>
    </row>
    <row r="37" spans="2:9" x14ac:dyDescent="0.3">
      <c r="B37" s="11"/>
      <c r="E37" s="3">
        <f>SUM(E33:E36)</f>
        <v>780</v>
      </c>
      <c r="G37" s="14">
        <f>SUM(G33:G36)</f>
        <v>13905</v>
      </c>
    </row>
    <row r="38" spans="2:9" ht="15" thickBot="1" x14ac:dyDescent="0.35">
      <c r="B38" s="15"/>
      <c r="C38" s="16"/>
      <c r="D38" s="16"/>
      <c r="E38" s="19">
        <f>E37/$I$17</f>
        <v>0.54166666666666663</v>
      </c>
      <c r="F38" s="16"/>
      <c r="G38" s="17"/>
    </row>
    <row r="40" spans="2:9" ht="15" thickBot="1" x14ac:dyDescent="0.35"/>
    <row r="41" spans="2:9" x14ac:dyDescent="0.3">
      <c r="B41" s="8" t="s">
        <v>108</v>
      </c>
      <c r="C41" s="9">
        <f>SUM(C44:C47)</f>
        <v>100</v>
      </c>
      <c r="D41" s="18"/>
      <c r="E41" s="9"/>
      <c r="F41" s="9"/>
      <c r="G41" s="10"/>
      <c r="I41" s="1"/>
    </row>
    <row r="42" spans="2:9" x14ac:dyDescent="0.3">
      <c r="B42" s="11"/>
      <c r="G42" s="12"/>
      <c r="I42" s="1"/>
    </row>
    <row r="43" spans="2:9" x14ac:dyDescent="0.3">
      <c r="B43" s="11"/>
      <c r="C43" s="3" t="s">
        <v>15</v>
      </c>
      <c r="D43" s="3" t="s">
        <v>16</v>
      </c>
      <c r="E43" s="3" t="s">
        <v>17</v>
      </c>
      <c r="F43" s="3" t="s">
        <v>18</v>
      </c>
      <c r="G43" s="43" t="s">
        <v>20</v>
      </c>
      <c r="I43" s="1"/>
    </row>
    <row r="44" spans="2:9" x14ac:dyDescent="0.3">
      <c r="B44" s="44" t="s">
        <v>106</v>
      </c>
      <c r="C44" s="1">
        <v>45</v>
      </c>
      <c r="D44" s="1">
        <v>4</v>
      </c>
      <c r="E44" s="1">
        <f>C44*D44</f>
        <v>180</v>
      </c>
      <c r="F44" s="4">
        <v>75</v>
      </c>
      <c r="G44" s="13">
        <f>C44*F44</f>
        <v>3375</v>
      </c>
      <c r="I44" s="1"/>
    </row>
    <row r="45" spans="2:9" x14ac:dyDescent="0.3">
      <c r="B45" s="44" t="s">
        <v>106</v>
      </c>
      <c r="C45" s="1">
        <v>45</v>
      </c>
      <c r="D45" s="1">
        <v>8</v>
      </c>
      <c r="E45" s="1">
        <f>C45*D45</f>
        <v>360</v>
      </c>
      <c r="F45" s="4">
        <v>140</v>
      </c>
      <c r="G45" s="13">
        <f>C45*F45</f>
        <v>6300</v>
      </c>
      <c r="I45" s="1"/>
    </row>
    <row r="46" spans="2:9" x14ac:dyDescent="0.3">
      <c r="B46" s="44" t="s">
        <v>107</v>
      </c>
      <c r="C46" s="1">
        <v>5</v>
      </c>
      <c r="D46" s="1">
        <v>5</v>
      </c>
      <c r="E46" s="1">
        <f>C46*D46</f>
        <v>25</v>
      </c>
      <c r="F46" s="4">
        <v>90</v>
      </c>
      <c r="G46" s="13">
        <f>C46*F46</f>
        <v>450</v>
      </c>
      <c r="I46" s="1"/>
    </row>
    <row r="47" spans="2:9" x14ac:dyDescent="0.3">
      <c r="B47" s="44" t="s">
        <v>107</v>
      </c>
      <c r="C47" s="1">
        <v>5</v>
      </c>
      <c r="D47" s="1">
        <v>10</v>
      </c>
      <c r="E47" s="1">
        <f>C47*D47</f>
        <v>50</v>
      </c>
      <c r="F47" s="4">
        <v>170</v>
      </c>
      <c r="G47" s="13">
        <f>C47*F47</f>
        <v>850</v>
      </c>
      <c r="I47" s="1"/>
    </row>
    <row r="48" spans="2:9" x14ac:dyDescent="0.3">
      <c r="B48" s="11"/>
      <c r="E48" s="3">
        <f>SUM(E44:E47)</f>
        <v>615</v>
      </c>
      <c r="G48" s="14">
        <f>SUM(G44:G47)</f>
        <v>10975</v>
      </c>
    </row>
    <row r="49" spans="2:7" ht="15" thickBot="1" x14ac:dyDescent="0.35">
      <c r="B49" s="15"/>
      <c r="C49" s="16"/>
      <c r="D49" s="16"/>
      <c r="E49" s="19">
        <f>E48/$I$17</f>
        <v>0.42708333333333331</v>
      </c>
      <c r="F49" s="16"/>
      <c r="G49" s="17"/>
    </row>
    <row r="51" spans="2:7" ht="15" thickBot="1" x14ac:dyDescent="0.35"/>
    <row r="52" spans="2:7" x14ac:dyDescent="0.3">
      <c r="B52" s="8" t="s">
        <v>108</v>
      </c>
      <c r="C52" s="9">
        <f>SUM(C55:C58)</f>
        <v>76</v>
      </c>
      <c r="D52" s="36" t="s">
        <v>72</v>
      </c>
      <c r="E52" s="9"/>
      <c r="F52" s="9"/>
      <c r="G52" s="10"/>
    </row>
    <row r="53" spans="2:7" x14ac:dyDescent="0.3">
      <c r="B53" s="11"/>
      <c r="G53" s="12"/>
    </row>
    <row r="54" spans="2:7" x14ac:dyDescent="0.3">
      <c r="B54" s="11"/>
      <c r="C54" s="3" t="s">
        <v>15</v>
      </c>
      <c r="D54" s="3" t="s">
        <v>16</v>
      </c>
      <c r="E54" s="3" t="s">
        <v>17</v>
      </c>
      <c r="F54" s="3" t="s">
        <v>18</v>
      </c>
      <c r="G54" s="43" t="s">
        <v>20</v>
      </c>
    </row>
    <row r="55" spans="2:7" x14ac:dyDescent="0.3">
      <c r="B55" s="44" t="s">
        <v>106</v>
      </c>
      <c r="C55" s="1">
        <v>35</v>
      </c>
      <c r="D55" s="1">
        <v>4</v>
      </c>
      <c r="E55" s="1">
        <f>C55*D55</f>
        <v>140</v>
      </c>
      <c r="F55" s="4">
        <v>75</v>
      </c>
      <c r="G55" s="13">
        <f>C55*F55</f>
        <v>2625</v>
      </c>
    </row>
    <row r="56" spans="2:7" x14ac:dyDescent="0.3">
      <c r="B56" s="44" t="s">
        <v>106</v>
      </c>
      <c r="C56" s="1">
        <v>35</v>
      </c>
      <c r="D56" s="1">
        <v>8</v>
      </c>
      <c r="E56" s="1">
        <f>C56*D56</f>
        <v>280</v>
      </c>
      <c r="F56" s="4">
        <v>140</v>
      </c>
      <c r="G56" s="13">
        <f>C56*F56</f>
        <v>4900</v>
      </c>
    </row>
    <row r="57" spans="2:7" x14ac:dyDescent="0.3">
      <c r="B57" s="44" t="s">
        <v>107</v>
      </c>
      <c r="C57" s="1">
        <v>3</v>
      </c>
      <c r="D57" s="1">
        <v>5</v>
      </c>
      <c r="E57" s="1">
        <f>C57*D57</f>
        <v>15</v>
      </c>
      <c r="F57" s="4">
        <v>90</v>
      </c>
      <c r="G57" s="13">
        <f>C57*F57</f>
        <v>270</v>
      </c>
    </row>
    <row r="58" spans="2:7" x14ac:dyDescent="0.3">
      <c r="B58" s="44" t="s">
        <v>107</v>
      </c>
      <c r="C58" s="1">
        <v>3</v>
      </c>
      <c r="D58" s="1">
        <v>10</v>
      </c>
      <c r="E58" s="1">
        <f>C58*D58</f>
        <v>30</v>
      </c>
      <c r="F58" s="4">
        <v>170</v>
      </c>
      <c r="G58" s="13">
        <f>C58*F58</f>
        <v>510</v>
      </c>
    </row>
    <row r="59" spans="2:7" x14ac:dyDescent="0.3">
      <c r="B59" s="11"/>
      <c r="E59" s="3">
        <f>SUM(E55:E58)</f>
        <v>465</v>
      </c>
      <c r="G59" s="14">
        <f>SUM(G55:G58)</f>
        <v>8305</v>
      </c>
    </row>
    <row r="60" spans="2:7" ht="15" thickBot="1" x14ac:dyDescent="0.35">
      <c r="B60" s="15"/>
      <c r="C60" s="16"/>
      <c r="D60" s="16"/>
      <c r="E60" s="19">
        <f>E59/$I$17</f>
        <v>0.32291666666666669</v>
      </c>
      <c r="F60" s="16"/>
      <c r="G60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A0F1-7FEE-42B0-9CDC-4F10EF1B9EB8}">
  <dimension ref="B2:V60"/>
  <sheetViews>
    <sheetView topLeftCell="F32" zoomScale="104" zoomScaleNormal="77" workbookViewId="0">
      <selection activeCell="N45" sqref="N45"/>
    </sheetView>
  </sheetViews>
  <sheetFormatPr baseColWidth="10" defaultColWidth="12.44140625" defaultRowHeight="14.4" x14ac:dyDescent="0.3"/>
  <cols>
    <col min="1" max="1" width="12.44140625" style="1"/>
    <col min="2" max="2" width="13.44140625" style="1" bestFit="1" customWidth="1"/>
    <col min="3" max="8" width="12.44140625" style="1"/>
    <col min="9" max="9" width="12.44140625" style="2"/>
    <col min="10" max="11" width="12.44140625" style="1"/>
    <col min="12" max="12" width="24.44140625" style="1" bestFit="1" customWidth="1"/>
    <col min="13" max="13" width="12.44140625" style="1"/>
    <col min="14" max="14" width="7.88671875" style="1" bestFit="1" customWidth="1"/>
    <col min="15" max="15" width="24.44140625" style="1" bestFit="1" customWidth="1"/>
    <col min="16" max="16" width="12.44140625" style="1"/>
    <col min="17" max="17" width="4.109375" style="1" customWidth="1"/>
    <col min="18" max="18" width="24.44140625" style="1" bestFit="1" customWidth="1"/>
    <col min="19" max="19" width="12.44140625" style="1"/>
    <col min="20" max="20" width="5" style="1" customWidth="1"/>
    <col min="21" max="21" width="24.77734375" style="1" bestFit="1" customWidth="1"/>
    <col min="22" max="16384" width="12.44140625" style="1"/>
  </cols>
  <sheetData>
    <row r="2" spans="2:22" ht="15" thickBot="1" x14ac:dyDescent="0.35">
      <c r="B2" s="3" t="s">
        <v>23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31</v>
      </c>
    </row>
    <row r="3" spans="2:22" ht="15" thickBot="1" x14ac:dyDescent="0.35">
      <c r="B3" s="1" t="s">
        <v>222</v>
      </c>
      <c r="I3" s="1"/>
      <c r="J3" s="2"/>
      <c r="L3" s="23" t="s">
        <v>42</v>
      </c>
      <c r="M3" s="28">
        <f>E27</f>
        <v>0.86111111111111116</v>
      </c>
      <c r="O3" s="23" t="s">
        <v>42</v>
      </c>
      <c r="P3" s="28">
        <f>E38</f>
        <v>0.72222222222222221</v>
      </c>
      <c r="R3" s="23" t="s">
        <v>42</v>
      </c>
      <c r="S3" s="28">
        <f>E49</f>
        <v>0.56944444444444442</v>
      </c>
      <c r="U3" s="23" t="s">
        <v>42</v>
      </c>
      <c r="V3" s="28">
        <f>E60</f>
        <v>0.43055555555555558</v>
      </c>
    </row>
    <row r="4" spans="2:22" x14ac:dyDescent="0.3">
      <c r="B4" s="1" t="s">
        <v>223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I4" s="1">
        <f t="shared" ref="I4:I15" si="0">SUM(C4:H4)</f>
        <v>25</v>
      </c>
      <c r="J4" s="2"/>
      <c r="L4" s="11"/>
      <c r="M4" s="12"/>
      <c r="O4" s="11"/>
      <c r="P4" s="12"/>
      <c r="R4" s="11"/>
      <c r="S4" s="12"/>
      <c r="U4" s="11"/>
      <c r="V4" s="12"/>
    </row>
    <row r="5" spans="2:22" x14ac:dyDescent="0.3">
      <c r="B5" s="1" t="s">
        <v>224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f t="shared" si="0"/>
        <v>30</v>
      </c>
      <c r="J5" s="2"/>
      <c r="L5" s="20" t="s">
        <v>37</v>
      </c>
      <c r="M5" s="13">
        <f>G26</f>
        <v>16575</v>
      </c>
      <c r="O5" s="20" t="s">
        <v>37</v>
      </c>
      <c r="P5" s="13">
        <f>G37</f>
        <v>13905</v>
      </c>
      <c r="R5" s="20" t="s">
        <v>37</v>
      </c>
      <c r="S5" s="13">
        <f>G48</f>
        <v>10975</v>
      </c>
      <c r="U5" s="20" t="s">
        <v>37</v>
      </c>
      <c r="V5" s="13">
        <f>G59</f>
        <v>8305</v>
      </c>
    </row>
    <row r="6" spans="2:22" x14ac:dyDescent="0.3">
      <c r="B6" s="1" t="s">
        <v>24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f t="shared" si="0"/>
        <v>30</v>
      </c>
      <c r="J6" s="2"/>
      <c r="L6" s="20" t="s">
        <v>38</v>
      </c>
      <c r="M6" s="13">
        <v>8226</v>
      </c>
      <c r="O6" s="20" t="s">
        <v>38</v>
      </c>
      <c r="P6" s="13">
        <f>M6</f>
        <v>8226</v>
      </c>
      <c r="R6" s="20" t="s">
        <v>38</v>
      </c>
      <c r="S6" s="13">
        <f>M6</f>
        <v>8226</v>
      </c>
      <c r="U6" s="20" t="s">
        <v>38</v>
      </c>
      <c r="V6" s="13">
        <f>M6</f>
        <v>8226</v>
      </c>
    </row>
    <row r="7" spans="2:22" x14ac:dyDescent="0.3">
      <c r="B7" s="1" t="s">
        <v>25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f t="shared" si="0"/>
        <v>30</v>
      </c>
      <c r="J7" s="2"/>
      <c r="L7" s="20" t="s">
        <v>39</v>
      </c>
      <c r="M7" s="13">
        <f>M5-M6</f>
        <v>8349</v>
      </c>
      <c r="O7" s="20" t="s">
        <v>39</v>
      </c>
      <c r="P7" s="13">
        <f>P5-P6</f>
        <v>5679</v>
      </c>
      <c r="R7" s="20" t="s">
        <v>39</v>
      </c>
      <c r="S7" s="13">
        <f>S5-S6</f>
        <v>2749</v>
      </c>
      <c r="U7" s="20" t="s">
        <v>39</v>
      </c>
      <c r="V7" s="13">
        <f>V5-V6</f>
        <v>79</v>
      </c>
    </row>
    <row r="8" spans="2:22" ht="15" thickBot="1" x14ac:dyDescent="0.35">
      <c r="B8" s="1" t="s">
        <v>26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f t="shared" si="0"/>
        <v>30</v>
      </c>
      <c r="J8" s="2"/>
      <c r="L8" s="20" t="s">
        <v>40</v>
      </c>
      <c r="M8" s="13">
        <f>M7*0.25</f>
        <v>2087.25</v>
      </c>
      <c r="O8" s="20" t="s">
        <v>40</v>
      </c>
      <c r="P8" s="13">
        <f>P7*0.25</f>
        <v>1419.75</v>
      </c>
      <c r="R8" s="20" t="s">
        <v>40</v>
      </c>
      <c r="S8" s="13">
        <f>S7*0.25</f>
        <v>687.25</v>
      </c>
      <c r="U8" s="20" t="s">
        <v>40</v>
      </c>
      <c r="V8" s="13">
        <f>V7*0.25</f>
        <v>19.75</v>
      </c>
    </row>
    <row r="9" spans="2:22" ht="15" thickBot="1" x14ac:dyDescent="0.35">
      <c r="B9" s="1" t="s">
        <v>29</v>
      </c>
      <c r="I9" s="1">
        <f t="shared" si="0"/>
        <v>0</v>
      </c>
      <c r="L9" s="21" t="s">
        <v>41</v>
      </c>
      <c r="M9" s="24">
        <f>M7-M8</f>
        <v>6261.75</v>
      </c>
      <c r="O9" s="21" t="s">
        <v>41</v>
      </c>
      <c r="P9" s="24">
        <f>P7-P8</f>
        <v>4259.25</v>
      </c>
      <c r="R9" s="21" t="s">
        <v>41</v>
      </c>
      <c r="S9" s="24">
        <f>S7-S8</f>
        <v>2061.75</v>
      </c>
      <c r="U9" s="21" t="s">
        <v>41</v>
      </c>
      <c r="V9" s="24">
        <f>V7-V8</f>
        <v>59.25</v>
      </c>
    </row>
    <row r="10" spans="2:22" x14ac:dyDescent="0.3">
      <c r="I10" s="1">
        <f t="shared" si="0"/>
        <v>0</v>
      </c>
    </row>
    <row r="11" spans="2:22" ht="15" thickBot="1" x14ac:dyDescent="0.35">
      <c r="B11" s="1" t="s">
        <v>21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I11" s="1">
        <f t="shared" si="0"/>
        <v>25</v>
      </c>
      <c r="J11" s="2"/>
    </row>
    <row r="12" spans="2:22" x14ac:dyDescent="0.3">
      <c r="B12" s="1" t="s">
        <v>4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I12" s="1">
        <f t="shared" si="0"/>
        <v>25</v>
      </c>
      <c r="J12" s="2"/>
      <c r="L12" s="23" t="s">
        <v>43</v>
      </c>
      <c r="M12" s="10"/>
      <c r="O12" s="23" t="s">
        <v>43</v>
      </c>
      <c r="P12" s="10"/>
      <c r="R12" s="23" t="s">
        <v>43</v>
      </c>
      <c r="S12" s="10"/>
      <c r="U12" s="23" t="s">
        <v>43</v>
      </c>
      <c r="V12" s="10"/>
    </row>
    <row r="13" spans="2:22" x14ac:dyDescent="0.3">
      <c r="B13" s="1" t="s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I13" s="1">
        <f t="shared" si="0"/>
        <v>25</v>
      </c>
      <c r="J13" s="2"/>
      <c r="L13" s="11"/>
      <c r="M13" s="12"/>
      <c r="O13" s="11"/>
      <c r="P13" s="12"/>
      <c r="R13" s="11"/>
      <c r="S13" s="12"/>
      <c r="U13" s="11"/>
      <c r="V13" s="12"/>
    </row>
    <row r="14" spans="2:22" x14ac:dyDescent="0.3">
      <c r="B14" s="1" t="s">
        <v>6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I14" s="1">
        <f t="shared" si="0"/>
        <v>25</v>
      </c>
      <c r="J14" s="2"/>
      <c r="L14" s="20" t="s">
        <v>37</v>
      </c>
      <c r="M14" s="13">
        <f>M5*12</f>
        <v>198900</v>
      </c>
      <c r="O14" s="20" t="s">
        <v>37</v>
      </c>
      <c r="P14" s="13">
        <f>P5*12</f>
        <v>166860</v>
      </c>
      <c r="R14" s="20" t="s">
        <v>37</v>
      </c>
      <c r="S14" s="13">
        <f>S5*12</f>
        <v>131700</v>
      </c>
      <c r="U14" s="20" t="s">
        <v>37</v>
      </c>
      <c r="V14" s="13">
        <f>V5*12</f>
        <v>99660</v>
      </c>
    </row>
    <row r="15" spans="2:22" x14ac:dyDescent="0.3">
      <c r="B15" s="1" t="s">
        <v>7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I15" s="1">
        <f t="shared" si="0"/>
        <v>25</v>
      </c>
      <c r="L15" s="20" t="s">
        <v>38</v>
      </c>
      <c r="M15" s="13">
        <f>M6*12</f>
        <v>98712</v>
      </c>
      <c r="O15" s="20" t="s">
        <v>38</v>
      </c>
      <c r="P15" s="13">
        <f>P6*12</f>
        <v>98712</v>
      </c>
      <c r="R15" s="20" t="s">
        <v>38</v>
      </c>
      <c r="S15" s="13">
        <f>S6*12</f>
        <v>98712</v>
      </c>
      <c r="U15" s="20" t="s">
        <v>38</v>
      </c>
      <c r="V15" s="13">
        <f>V6*12</f>
        <v>98712</v>
      </c>
    </row>
    <row r="16" spans="2:22" x14ac:dyDescent="0.3">
      <c r="C16" s="1">
        <f t="shared" ref="C16:H16" si="1">SUM(C3:C15)</f>
        <v>50</v>
      </c>
      <c r="D16" s="1">
        <f t="shared" si="1"/>
        <v>50</v>
      </c>
      <c r="E16" s="1">
        <f t="shared" si="1"/>
        <v>50</v>
      </c>
      <c r="F16" s="1">
        <f t="shared" si="1"/>
        <v>50</v>
      </c>
      <c r="G16" s="1">
        <f t="shared" si="1"/>
        <v>50</v>
      </c>
      <c r="H16" s="1">
        <f t="shared" si="1"/>
        <v>20</v>
      </c>
      <c r="I16" s="3">
        <f>SUM(C16:H16)</f>
        <v>270</v>
      </c>
      <c r="J16" s="7" t="s">
        <v>13</v>
      </c>
      <c r="L16" s="20" t="s">
        <v>39</v>
      </c>
      <c r="M16" s="13">
        <f>M14-M15</f>
        <v>100188</v>
      </c>
      <c r="O16" s="20" t="s">
        <v>39</v>
      </c>
      <c r="P16" s="13">
        <f>P14-P15</f>
        <v>68148</v>
      </c>
      <c r="R16" s="20" t="s">
        <v>39</v>
      </c>
      <c r="S16" s="13">
        <f>S14-S15</f>
        <v>32988</v>
      </c>
      <c r="U16" s="20" t="s">
        <v>39</v>
      </c>
      <c r="V16" s="13">
        <f>V14-V15</f>
        <v>948</v>
      </c>
    </row>
    <row r="17" spans="2:22" ht="15" thickBot="1" x14ac:dyDescent="0.35">
      <c r="I17" s="3">
        <f>I16*4</f>
        <v>1080</v>
      </c>
      <c r="J17" s="7" t="s">
        <v>14</v>
      </c>
      <c r="L17" s="20" t="s">
        <v>40</v>
      </c>
      <c r="M17" s="13">
        <f>M16*0.25</f>
        <v>25047</v>
      </c>
      <c r="O17" s="20" t="s">
        <v>40</v>
      </c>
      <c r="P17" s="13">
        <f>P16*0.25</f>
        <v>17037</v>
      </c>
      <c r="R17" s="20" t="s">
        <v>40</v>
      </c>
      <c r="S17" s="13">
        <f>S16*0.25</f>
        <v>8247</v>
      </c>
      <c r="U17" s="20" t="s">
        <v>40</v>
      </c>
      <c r="V17" s="13">
        <f>V16*0.25</f>
        <v>237</v>
      </c>
    </row>
    <row r="18" spans="2:22" ht="15" thickBot="1" x14ac:dyDescent="0.35">
      <c r="L18" s="21" t="s">
        <v>49</v>
      </c>
      <c r="M18" s="24">
        <f>M16-M17</f>
        <v>75141</v>
      </c>
      <c r="O18" s="21" t="s">
        <v>49</v>
      </c>
      <c r="P18" s="24">
        <f>P16-P17</f>
        <v>51111</v>
      </c>
      <c r="R18" s="21" t="s">
        <v>49</v>
      </c>
      <c r="S18" s="24">
        <f>S16-S17</f>
        <v>24741</v>
      </c>
      <c r="U18" s="21" t="s">
        <v>49</v>
      </c>
      <c r="V18" s="24">
        <f>V16-V17</f>
        <v>711</v>
      </c>
    </row>
    <row r="19" spans="2:22" x14ac:dyDescent="0.3">
      <c r="B19" s="8" t="s">
        <v>108</v>
      </c>
      <c r="C19" s="9">
        <f>SUM(C22:C25)</f>
        <v>150</v>
      </c>
      <c r="D19" s="18"/>
      <c r="E19" s="9"/>
      <c r="F19" s="9"/>
      <c r="G19" s="10"/>
    </row>
    <row r="20" spans="2:22" ht="15" thickBot="1" x14ac:dyDescent="0.35">
      <c r="B20" s="11"/>
      <c r="G20" s="12"/>
    </row>
    <row r="21" spans="2:22" x14ac:dyDescent="0.3">
      <c r="B21" s="11"/>
      <c r="C21" s="3" t="s">
        <v>15</v>
      </c>
      <c r="D21" s="3" t="s">
        <v>16</v>
      </c>
      <c r="E21" s="3" t="s">
        <v>17</v>
      </c>
      <c r="F21" s="3" t="s">
        <v>18</v>
      </c>
      <c r="G21" s="43" t="s">
        <v>20</v>
      </c>
      <c r="L21" s="23" t="s">
        <v>48</v>
      </c>
      <c r="M21" s="10"/>
      <c r="O21" s="23" t="s">
        <v>48</v>
      </c>
      <c r="P21" s="10"/>
      <c r="R21" s="23" t="s">
        <v>48</v>
      </c>
      <c r="S21" s="10"/>
      <c r="U21" s="23" t="s">
        <v>48</v>
      </c>
      <c r="V21" s="10"/>
    </row>
    <row r="22" spans="2:22" x14ac:dyDescent="0.3">
      <c r="B22" s="44" t="s">
        <v>106</v>
      </c>
      <c r="C22" s="1">
        <v>65</v>
      </c>
      <c r="D22" s="1">
        <v>4</v>
      </c>
      <c r="E22" s="1">
        <f>C22*D22</f>
        <v>260</v>
      </c>
      <c r="F22" s="4">
        <v>75</v>
      </c>
      <c r="G22" s="13">
        <f>C22*F22</f>
        <v>4875</v>
      </c>
      <c r="L22" s="11"/>
      <c r="M22" s="12"/>
      <c r="O22" s="11"/>
      <c r="P22" s="12"/>
      <c r="R22" s="11"/>
      <c r="S22" s="12"/>
      <c r="U22" s="11"/>
      <c r="V22" s="12"/>
    </row>
    <row r="23" spans="2:22" x14ac:dyDescent="0.3">
      <c r="B23" s="44" t="s">
        <v>106</v>
      </c>
      <c r="C23" s="1">
        <v>65</v>
      </c>
      <c r="D23" s="1">
        <v>8</v>
      </c>
      <c r="E23" s="1">
        <f>C23*D23</f>
        <v>520</v>
      </c>
      <c r="F23" s="4">
        <v>140</v>
      </c>
      <c r="G23" s="13">
        <f>C23*F23</f>
        <v>9100</v>
      </c>
      <c r="L23" s="20" t="s">
        <v>49</v>
      </c>
      <c r="M23" s="13">
        <f>M18</f>
        <v>75141</v>
      </c>
      <c r="O23" s="20" t="s">
        <v>49</v>
      </c>
      <c r="P23" s="13">
        <f>P18</f>
        <v>51111</v>
      </c>
      <c r="R23" s="20" t="s">
        <v>49</v>
      </c>
      <c r="S23" s="13">
        <f>S18</f>
        <v>24741</v>
      </c>
      <c r="U23" s="20" t="s">
        <v>49</v>
      </c>
      <c r="V23" s="13">
        <f>V18</f>
        <v>711</v>
      </c>
    </row>
    <row r="24" spans="2:22" ht="15" thickBot="1" x14ac:dyDescent="0.35">
      <c r="B24" s="44" t="s">
        <v>107</v>
      </c>
      <c r="C24" s="1">
        <v>10</v>
      </c>
      <c r="D24" s="1">
        <v>5</v>
      </c>
      <c r="E24" s="1">
        <f>C24*D24</f>
        <v>50</v>
      </c>
      <c r="F24" s="4">
        <v>90</v>
      </c>
      <c r="G24" s="13">
        <f>C24*F24</f>
        <v>900</v>
      </c>
      <c r="L24" s="20" t="s">
        <v>50</v>
      </c>
      <c r="M24" s="13">
        <f>M23*(1-20%)</f>
        <v>60112.800000000003</v>
      </c>
      <c r="O24" s="20" t="s">
        <v>50</v>
      </c>
      <c r="P24" s="13">
        <f>P23*(1-20%)</f>
        <v>40888.800000000003</v>
      </c>
      <c r="R24" s="20" t="s">
        <v>50</v>
      </c>
      <c r="S24" s="13">
        <f>S23*(1-20%)</f>
        <v>19792.800000000003</v>
      </c>
      <c r="U24" s="20" t="s">
        <v>50</v>
      </c>
      <c r="V24" s="13">
        <f>V23*(1-20%)</f>
        <v>568.80000000000007</v>
      </c>
    </row>
    <row r="25" spans="2:22" ht="15" thickBot="1" x14ac:dyDescent="0.35">
      <c r="B25" s="44" t="s">
        <v>107</v>
      </c>
      <c r="C25" s="1">
        <v>10</v>
      </c>
      <c r="D25" s="1">
        <v>10</v>
      </c>
      <c r="E25" s="1">
        <f>C25*D25</f>
        <v>100</v>
      </c>
      <c r="F25" s="4">
        <v>170</v>
      </c>
      <c r="G25" s="13">
        <f>C25*F25</f>
        <v>1700</v>
      </c>
      <c r="L25" s="20" t="s">
        <v>51</v>
      </c>
      <c r="M25" s="24">
        <f>M$24*0.25</f>
        <v>15028.2</v>
      </c>
      <c r="O25" s="20" t="s">
        <v>51</v>
      </c>
      <c r="P25" s="24">
        <f>P$24*0.25</f>
        <v>10222.200000000001</v>
      </c>
      <c r="R25" s="20" t="s">
        <v>51</v>
      </c>
      <c r="S25" s="24">
        <f>S$24*0.25</f>
        <v>4948.2000000000007</v>
      </c>
      <c r="U25" s="20" t="s">
        <v>51</v>
      </c>
      <c r="V25" s="24">
        <f>V$24*0.25</f>
        <v>142.20000000000002</v>
      </c>
    </row>
    <row r="26" spans="2:22" ht="15" thickBot="1" x14ac:dyDescent="0.35">
      <c r="B26" s="11"/>
      <c r="E26" s="3">
        <f>SUM(E22:E25)</f>
        <v>930</v>
      </c>
      <c r="G26" s="14">
        <f>SUM(G22:G25)</f>
        <v>16575</v>
      </c>
      <c r="L26" s="11" t="s">
        <v>52</v>
      </c>
      <c r="M26" s="24">
        <f>M$24*0.25</f>
        <v>15028.2</v>
      </c>
      <c r="O26" s="11" t="s">
        <v>52</v>
      </c>
      <c r="P26" s="24">
        <f>P$24*0.25</f>
        <v>10222.200000000001</v>
      </c>
      <c r="R26" s="11" t="s">
        <v>52</v>
      </c>
      <c r="S26" s="24">
        <f>S$24*0.25</f>
        <v>4948.2000000000007</v>
      </c>
      <c r="U26" s="11" t="s">
        <v>52</v>
      </c>
      <c r="V26" s="24">
        <f>V$24*0.25</f>
        <v>142.20000000000002</v>
      </c>
    </row>
    <row r="27" spans="2:22" ht="15" thickBot="1" x14ac:dyDescent="0.35">
      <c r="B27" s="15"/>
      <c r="C27" s="16"/>
      <c r="D27" s="16"/>
      <c r="E27" s="19">
        <f>E26/$I$17</f>
        <v>0.86111111111111116</v>
      </c>
      <c r="F27" s="16"/>
      <c r="G27" s="17"/>
      <c r="L27" s="11" t="s">
        <v>53</v>
      </c>
      <c r="M27" s="24">
        <f>M$24*0.25</f>
        <v>15028.2</v>
      </c>
      <c r="O27" s="11" t="s">
        <v>53</v>
      </c>
      <c r="P27" s="24">
        <f>P$24*0.25</f>
        <v>10222.200000000001</v>
      </c>
      <c r="R27" s="11" t="s">
        <v>53</v>
      </c>
      <c r="S27" s="24">
        <f>S$24*0.25</f>
        <v>4948.2000000000007</v>
      </c>
      <c r="U27" s="11" t="s">
        <v>53</v>
      </c>
      <c r="V27" s="24">
        <f>V$24*0.25</f>
        <v>142.20000000000002</v>
      </c>
    </row>
    <row r="28" spans="2:22" ht="15" thickBot="1" x14ac:dyDescent="0.35">
      <c r="H28" s="4"/>
      <c r="L28" s="15" t="s">
        <v>54</v>
      </c>
      <c r="M28" s="24">
        <f>M$24*0.25</f>
        <v>15028.2</v>
      </c>
      <c r="O28" s="15" t="s">
        <v>54</v>
      </c>
      <c r="P28" s="24">
        <f>P$24*0.25</f>
        <v>10222.200000000001</v>
      </c>
      <c r="R28" s="15" t="s">
        <v>54</v>
      </c>
      <c r="S28" s="24">
        <f>S$24*0.25</f>
        <v>4948.2000000000007</v>
      </c>
      <c r="U28" s="15" t="s">
        <v>54</v>
      </c>
      <c r="V28" s="24">
        <f>V$24*0.25</f>
        <v>142.20000000000002</v>
      </c>
    </row>
    <row r="29" spans="2:22" ht="15" thickBot="1" x14ac:dyDescent="0.35">
      <c r="H29" s="4"/>
    </row>
    <row r="30" spans="2:22" x14ac:dyDescent="0.3">
      <c r="B30" s="8" t="s">
        <v>108</v>
      </c>
      <c r="C30" s="9">
        <f>SUM(C33:C36)</f>
        <v>126</v>
      </c>
      <c r="D30" s="18"/>
      <c r="E30" s="9"/>
      <c r="F30" s="9"/>
      <c r="G30" s="10"/>
      <c r="H30" s="4"/>
    </row>
    <row r="31" spans="2:22" x14ac:dyDescent="0.3">
      <c r="B31" s="11"/>
      <c r="G31" s="12"/>
      <c r="M31" s="4"/>
    </row>
    <row r="32" spans="2:22" x14ac:dyDescent="0.3">
      <c r="B32" s="11"/>
      <c r="C32" s="3" t="s">
        <v>15</v>
      </c>
      <c r="D32" s="3" t="s">
        <v>16</v>
      </c>
      <c r="E32" s="3" t="s">
        <v>17</v>
      </c>
      <c r="F32" s="3" t="s">
        <v>18</v>
      </c>
      <c r="G32" s="43" t="s">
        <v>20</v>
      </c>
      <c r="I32" s="3"/>
      <c r="M32" s="4"/>
    </row>
    <row r="33" spans="2:13" x14ac:dyDescent="0.3">
      <c r="B33" s="44" t="s">
        <v>106</v>
      </c>
      <c r="C33" s="1">
        <v>55</v>
      </c>
      <c r="D33" s="1">
        <v>4</v>
      </c>
      <c r="E33" s="1">
        <f>C33*D33</f>
        <v>220</v>
      </c>
      <c r="F33" s="4">
        <v>75</v>
      </c>
      <c r="G33" s="13">
        <f>C33*F33</f>
        <v>4125</v>
      </c>
      <c r="H33" s="4"/>
      <c r="I33" s="6"/>
    </row>
    <row r="34" spans="2:13" ht="15" thickBot="1" x14ac:dyDescent="0.35">
      <c r="B34" s="44" t="s">
        <v>106</v>
      </c>
      <c r="C34" s="1">
        <v>55</v>
      </c>
      <c r="D34" s="1">
        <v>8</v>
      </c>
      <c r="E34" s="1">
        <f>C34*D34</f>
        <v>440</v>
      </c>
      <c r="F34" s="4">
        <v>140</v>
      </c>
      <c r="G34" s="13">
        <f>C34*F34</f>
        <v>7700</v>
      </c>
      <c r="H34" s="4"/>
      <c r="I34" s="6"/>
    </row>
    <row r="35" spans="2:13" ht="15" thickBot="1" x14ac:dyDescent="0.35">
      <c r="B35" s="44" t="s">
        <v>107</v>
      </c>
      <c r="C35" s="1">
        <v>8</v>
      </c>
      <c r="D35" s="1">
        <v>5</v>
      </c>
      <c r="E35" s="1">
        <f>C35*D35</f>
        <v>40</v>
      </c>
      <c r="F35" s="4">
        <v>90</v>
      </c>
      <c r="G35" s="13">
        <f>C35*F35</f>
        <v>720</v>
      </c>
      <c r="H35" s="4"/>
      <c r="I35" s="6"/>
      <c r="L35" s="26" t="s">
        <v>61</v>
      </c>
    </row>
    <row r="36" spans="2:13" x14ac:dyDescent="0.3">
      <c r="B36" s="44" t="s">
        <v>107</v>
      </c>
      <c r="C36" s="1">
        <v>8</v>
      </c>
      <c r="D36" s="1">
        <v>10</v>
      </c>
      <c r="E36" s="1">
        <f>C36*D36</f>
        <v>80</v>
      </c>
      <c r="F36" s="4">
        <v>170</v>
      </c>
      <c r="G36" s="13">
        <f>C36*F36</f>
        <v>1360</v>
      </c>
      <c r="L36" s="8" t="s">
        <v>32</v>
      </c>
      <c r="M36" s="25">
        <v>480</v>
      </c>
    </row>
    <row r="37" spans="2:13" x14ac:dyDescent="0.3">
      <c r="B37" s="11"/>
      <c r="E37" s="3">
        <f>SUM(E33:E36)</f>
        <v>780</v>
      </c>
      <c r="G37" s="14">
        <f>SUM(G33:G36)</f>
        <v>13905</v>
      </c>
      <c r="L37" s="11" t="s">
        <v>33</v>
      </c>
      <c r="M37" s="13">
        <v>50</v>
      </c>
    </row>
    <row r="38" spans="2:13" ht="15" thickBot="1" x14ac:dyDescent="0.35">
      <c r="B38" s="15"/>
      <c r="C38" s="16"/>
      <c r="D38" s="16"/>
      <c r="E38" s="19">
        <f>E37/$I$17</f>
        <v>0.72222222222222221</v>
      </c>
      <c r="F38" s="16"/>
      <c r="G38" s="17"/>
      <c r="L38" s="11" t="s">
        <v>34</v>
      </c>
      <c r="M38" s="13">
        <v>50</v>
      </c>
    </row>
    <row r="39" spans="2:13" x14ac:dyDescent="0.3">
      <c r="L39" s="11" t="s">
        <v>35</v>
      </c>
      <c r="M39" s="13">
        <v>333</v>
      </c>
    </row>
    <row r="40" spans="2:13" ht="15" thickBot="1" x14ac:dyDescent="0.35">
      <c r="L40" s="11" t="s">
        <v>19</v>
      </c>
      <c r="M40" s="13">
        <v>30</v>
      </c>
    </row>
    <row r="41" spans="2:13" x14ac:dyDescent="0.3">
      <c r="B41" s="8" t="s">
        <v>108</v>
      </c>
      <c r="C41" s="9">
        <f>SUM(C44:C47)</f>
        <v>100</v>
      </c>
      <c r="D41" s="18"/>
      <c r="E41" s="9"/>
      <c r="F41" s="9"/>
      <c r="G41" s="10"/>
      <c r="I41" s="1"/>
      <c r="L41" s="11" t="s">
        <v>86</v>
      </c>
      <c r="M41" s="13">
        <v>50</v>
      </c>
    </row>
    <row r="42" spans="2:13" x14ac:dyDescent="0.3">
      <c r="B42" s="11"/>
      <c r="G42" s="12"/>
      <c r="I42" s="1"/>
      <c r="L42" s="11" t="s">
        <v>36</v>
      </c>
      <c r="M42" s="13">
        <v>159</v>
      </c>
    </row>
    <row r="43" spans="2:13" x14ac:dyDescent="0.3">
      <c r="B43" s="11"/>
      <c r="C43" s="3" t="s">
        <v>15</v>
      </c>
      <c r="D43" s="3" t="s">
        <v>16</v>
      </c>
      <c r="E43" s="3" t="s">
        <v>17</v>
      </c>
      <c r="F43" s="3" t="s">
        <v>18</v>
      </c>
      <c r="G43" s="43" t="s">
        <v>20</v>
      </c>
      <c r="I43" s="1"/>
      <c r="L43" s="11" t="s">
        <v>55</v>
      </c>
      <c r="M43" s="13">
        <v>30</v>
      </c>
    </row>
    <row r="44" spans="2:13" x14ac:dyDescent="0.3">
      <c r="B44" s="44" t="s">
        <v>106</v>
      </c>
      <c r="C44" s="1">
        <v>45</v>
      </c>
      <c r="D44" s="1">
        <v>4</v>
      </c>
      <c r="E44" s="1">
        <f>C44*D44</f>
        <v>180</v>
      </c>
      <c r="F44" s="4">
        <v>75</v>
      </c>
      <c r="G44" s="13">
        <f>C44*F44</f>
        <v>3375</v>
      </c>
      <c r="I44" s="1"/>
      <c r="L44" s="11" t="s">
        <v>56</v>
      </c>
      <c r="M44" s="13">
        <v>30</v>
      </c>
    </row>
    <row r="45" spans="2:13" x14ac:dyDescent="0.3">
      <c r="B45" s="44" t="s">
        <v>106</v>
      </c>
      <c r="C45" s="1">
        <v>45</v>
      </c>
      <c r="D45" s="1">
        <v>8</v>
      </c>
      <c r="E45" s="1">
        <f>C45*D45</f>
        <v>360</v>
      </c>
      <c r="F45" s="4">
        <v>140</v>
      </c>
      <c r="G45" s="13">
        <f>C45*F45</f>
        <v>6300</v>
      </c>
      <c r="I45" s="1"/>
      <c r="L45" s="11" t="s">
        <v>57</v>
      </c>
      <c r="M45" s="13">
        <v>40</v>
      </c>
    </row>
    <row r="46" spans="2:13" x14ac:dyDescent="0.3">
      <c r="B46" s="44" t="s">
        <v>107</v>
      </c>
      <c r="C46" s="1">
        <v>5</v>
      </c>
      <c r="D46" s="1">
        <v>5</v>
      </c>
      <c r="E46" s="1">
        <f>C46*D46</f>
        <v>25</v>
      </c>
      <c r="F46" s="4">
        <v>90</v>
      </c>
      <c r="G46" s="13">
        <f>C46*F46</f>
        <v>450</v>
      </c>
      <c r="I46" s="1"/>
      <c r="L46" s="11" t="s">
        <v>58</v>
      </c>
      <c r="M46" s="13">
        <v>200</v>
      </c>
    </row>
    <row r="47" spans="2:13" ht="15" thickBot="1" x14ac:dyDescent="0.35">
      <c r="B47" s="44" t="s">
        <v>107</v>
      </c>
      <c r="C47" s="1">
        <v>5</v>
      </c>
      <c r="D47" s="1">
        <v>10</v>
      </c>
      <c r="E47" s="1">
        <f>C47*D47</f>
        <v>50</v>
      </c>
      <c r="F47" s="4">
        <v>170</v>
      </c>
      <c r="G47" s="13">
        <f>C47*F47</f>
        <v>850</v>
      </c>
      <c r="I47" s="1"/>
      <c r="L47" s="15" t="s">
        <v>30</v>
      </c>
      <c r="M47" s="22">
        <f>O52+O54</f>
        <v>4364.0625</v>
      </c>
    </row>
    <row r="48" spans="2:13" ht="15" thickBot="1" x14ac:dyDescent="0.35">
      <c r="B48" s="11"/>
      <c r="E48" s="3">
        <f>SUM(E44:E47)</f>
        <v>615</v>
      </c>
      <c r="G48" s="14">
        <f>SUM(G44:G47)</f>
        <v>10975</v>
      </c>
      <c r="M48" s="27">
        <f>SUM(M36:M47)</f>
        <v>5816.0625</v>
      </c>
    </row>
    <row r="49" spans="2:15" ht="15" thickBot="1" x14ac:dyDescent="0.35">
      <c r="B49" s="15"/>
      <c r="C49" s="16"/>
      <c r="D49" s="16"/>
      <c r="E49" s="19">
        <f>E48/$I$17</f>
        <v>0.56944444444444442</v>
      </c>
      <c r="F49" s="16"/>
      <c r="G49" s="17"/>
    </row>
    <row r="50" spans="2:15" x14ac:dyDescent="0.3">
      <c r="M50" s="1" t="s">
        <v>228</v>
      </c>
      <c r="N50" s="1" t="s">
        <v>229</v>
      </c>
      <c r="O50" s="1" t="s">
        <v>230</v>
      </c>
    </row>
    <row r="51" spans="2:15" ht="15" thickBot="1" x14ac:dyDescent="0.35">
      <c r="K51" s="1" t="s">
        <v>231</v>
      </c>
      <c r="L51" s="1" t="s">
        <v>226</v>
      </c>
      <c r="M51" s="4">
        <v>25500</v>
      </c>
      <c r="N51" s="4">
        <f>M51*1.33</f>
        <v>33915</v>
      </c>
      <c r="O51" s="4">
        <f>N51/12</f>
        <v>2826.25</v>
      </c>
    </row>
    <row r="52" spans="2:15" x14ac:dyDescent="0.3">
      <c r="B52" s="8" t="s">
        <v>108</v>
      </c>
      <c r="C52" s="9">
        <f>SUM(C55:C58)</f>
        <v>76</v>
      </c>
      <c r="D52" s="36" t="s">
        <v>72</v>
      </c>
      <c r="E52" s="9"/>
      <c r="F52" s="9"/>
      <c r="G52" s="10"/>
      <c r="K52" s="1" t="s">
        <v>231</v>
      </c>
      <c r="L52" s="1" t="s">
        <v>227</v>
      </c>
      <c r="M52" s="4">
        <f>M51/4*3</f>
        <v>19125</v>
      </c>
      <c r="N52" s="4">
        <f>M52*1.33</f>
        <v>25436.25</v>
      </c>
      <c r="O52" s="4">
        <f>N52/12</f>
        <v>2119.6875</v>
      </c>
    </row>
    <row r="53" spans="2:15" x14ac:dyDescent="0.3">
      <c r="B53" s="11"/>
      <c r="G53" s="12"/>
      <c r="K53" s="1" t="s">
        <v>225</v>
      </c>
      <c r="L53" s="1" t="s">
        <v>226</v>
      </c>
      <c r="M53" s="4">
        <v>27000</v>
      </c>
      <c r="N53" s="4">
        <f>M53*1.33</f>
        <v>35910</v>
      </c>
      <c r="O53" s="4">
        <f>N53/12</f>
        <v>2992.5</v>
      </c>
    </row>
    <row r="54" spans="2:15" x14ac:dyDescent="0.3">
      <c r="B54" s="11"/>
      <c r="C54" s="3" t="s">
        <v>15</v>
      </c>
      <c r="D54" s="3" t="s">
        <v>16</v>
      </c>
      <c r="E54" s="3" t="s">
        <v>17</v>
      </c>
      <c r="F54" s="3" t="s">
        <v>18</v>
      </c>
      <c r="G54" s="43" t="s">
        <v>20</v>
      </c>
      <c r="K54" s="1" t="s">
        <v>225</v>
      </c>
      <c r="L54" s="1" t="s">
        <v>227</v>
      </c>
      <c r="M54" s="4">
        <f>M53/4*3</f>
        <v>20250</v>
      </c>
      <c r="N54" s="4">
        <f>M54*1.33</f>
        <v>26932.5</v>
      </c>
      <c r="O54" s="4">
        <f>N54/12</f>
        <v>2244.375</v>
      </c>
    </row>
    <row r="55" spans="2:15" x14ac:dyDescent="0.3">
      <c r="B55" s="44" t="s">
        <v>106</v>
      </c>
      <c r="C55" s="1">
        <v>35</v>
      </c>
      <c r="D55" s="1">
        <v>4</v>
      </c>
      <c r="E55" s="1">
        <f>C55*D55</f>
        <v>140</v>
      </c>
      <c r="F55" s="4">
        <v>75</v>
      </c>
      <c r="G55" s="13">
        <f>C55*F55</f>
        <v>2625</v>
      </c>
      <c r="M55" s="4"/>
      <c r="N55" s="4"/>
      <c r="O55" s="4"/>
    </row>
    <row r="56" spans="2:15" x14ac:dyDescent="0.3">
      <c r="B56" s="44" t="s">
        <v>106</v>
      </c>
      <c r="C56" s="1">
        <v>35</v>
      </c>
      <c r="D56" s="1">
        <v>8</v>
      </c>
      <c r="E56" s="1">
        <f>C56*D56</f>
        <v>280</v>
      </c>
      <c r="F56" s="4">
        <v>140</v>
      </c>
      <c r="G56" s="13">
        <f>C56*F56</f>
        <v>4900</v>
      </c>
      <c r="M56" s="4"/>
      <c r="N56" s="4"/>
      <c r="O56" s="4"/>
    </row>
    <row r="57" spans="2:15" x14ac:dyDescent="0.3">
      <c r="B57" s="44" t="s">
        <v>107</v>
      </c>
      <c r="C57" s="1">
        <v>3</v>
      </c>
      <c r="D57" s="1">
        <v>5</v>
      </c>
      <c r="E57" s="1">
        <f>C57*D57</f>
        <v>15</v>
      </c>
      <c r="F57" s="4">
        <v>90</v>
      </c>
      <c r="G57" s="13">
        <f>C57*F57</f>
        <v>270</v>
      </c>
    </row>
    <row r="58" spans="2:15" x14ac:dyDescent="0.3">
      <c r="B58" s="44" t="s">
        <v>107</v>
      </c>
      <c r="C58" s="1">
        <v>3</v>
      </c>
      <c r="D58" s="1">
        <v>10</v>
      </c>
      <c r="E58" s="1">
        <f>C58*D58</f>
        <v>30</v>
      </c>
      <c r="F58" s="4">
        <v>170</v>
      </c>
      <c r="G58" s="13">
        <f>C58*F58</f>
        <v>510</v>
      </c>
    </row>
    <row r="59" spans="2:15" x14ac:dyDescent="0.3">
      <c r="B59" s="11"/>
      <c r="E59" s="3">
        <f>SUM(E55:E58)</f>
        <v>465</v>
      </c>
      <c r="G59" s="14">
        <f>SUM(G55:G58)</f>
        <v>8305</v>
      </c>
    </row>
    <row r="60" spans="2:15" ht="15" thickBot="1" x14ac:dyDescent="0.35">
      <c r="B60" s="15"/>
      <c r="C60" s="16"/>
      <c r="D60" s="16"/>
      <c r="E60" s="19">
        <f>E59/$I$17</f>
        <v>0.43055555555555558</v>
      </c>
      <c r="F60" s="16"/>
      <c r="G6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CUANTOS SOCIOS NECESITAMOS</vt:lpstr>
      <vt:lpstr>CAPACITAT ACTUAL</vt:lpstr>
      <vt:lpstr>SOUS INSTRUCTORS</vt:lpstr>
      <vt:lpstr>INGRESOS SEMANALES</vt:lpstr>
      <vt:lpstr>Hoja2</vt:lpstr>
      <vt:lpstr>PUNTOS RELEVANTES</vt:lpstr>
      <vt:lpstr>P&amp;L supuesto</vt:lpstr>
      <vt:lpstr>P&amp;L real</vt:lpstr>
      <vt:lpstr>COMPETENCIA</vt:lpstr>
      <vt:lpstr>1 INSTRUCTOR</vt:lpstr>
      <vt:lpstr>1,5 INSTRUCTORS</vt:lpstr>
      <vt:lpstr>2 INSTRUCTORS</vt:lpstr>
      <vt:lpstr>2 INSTRUCT 30H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Muliterno</dc:creator>
  <cp:lastModifiedBy>Victor Muliterno</cp:lastModifiedBy>
  <dcterms:created xsi:type="dcterms:W3CDTF">2025-08-18T12:42:51Z</dcterms:created>
  <dcterms:modified xsi:type="dcterms:W3CDTF">2026-06-01T06:50:04Z</dcterms:modified>
</cp:coreProperties>
</file>