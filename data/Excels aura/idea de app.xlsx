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.muliterno\Desktop\PILATES\"/>
    </mc:Choice>
  </mc:AlternateContent>
  <xr:revisionPtr revIDLastSave="0" documentId="8_{655B571D-F2A8-4E14-9AFA-3AE9BE8E2C22}" xr6:coauthVersionLast="47" xr6:coauthVersionMax="47" xr10:uidLastSave="{00000000-0000-0000-0000-000000000000}"/>
  <bookViews>
    <workbookView xWindow="-108" yWindow="-108" windowWidth="23256" windowHeight="12456" activeTab="4" xr2:uid="{EABF8FAF-8E73-4F3C-9E0E-08289718A6E5}"/>
  </bookViews>
  <sheets>
    <sheet name="PRECIOS" sheetId="7" r:id="rId1"/>
    <sheet name="HORARIO" sheetId="1" r:id="rId2"/>
    <sheet name="ALUMNOS" sheetId="3" r:id="rId3"/>
    <sheet name="RESUMEN ALUMNOS" sheetId="5" r:id="rId4"/>
    <sheet name="P&amp;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7" i="1" l="1"/>
  <c r="F37" i="1"/>
  <c r="E37" i="1"/>
  <c r="D37" i="1"/>
  <c r="C37" i="1"/>
  <c r="D11" i="7"/>
  <c r="D10" i="7"/>
  <c r="D9" i="7"/>
  <c r="D8" i="7"/>
  <c r="D7" i="7"/>
  <c r="D6" i="7"/>
  <c r="D5" i="7"/>
  <c r="D4" i="7"/>
  <c r="D3" i="7"/>
  <c r="C6" i="7"/>
  <c r="D58" i="6"/>
  <c r="C58" i="6"/>
  <c r="E4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G27" i="6"/>
  <c r="G20" i="6" s="1"/>
  <c r="E22" i="6"/>
  <c r="E20" i="6" s="1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F20" i="6"/>
  <c r="D20" i="6"/>
  <c r="C20" i="6"/>
  <c r="AO13" i="6"/>
  <c r="AO3" i="6" s="1"/>
  <c r="AN13" i="6"/>
  <c r="AN3" i="6" s="1"/>
  <c r="AM13" i="6"/>
  <c r="AM3" i="6" s="1"/>
  <c r="AL13" i="6"/>
  <c r="AL3" i="6" s="1"/>
  <c r="AK13" i="6"/>
  <c r="AK3" i="6" s="1"/>
  <c r="AJ13" i="6"/>
  <c r="AJ3" i="6" s="1"/>
  <c r="AI13" i="6"/>
  <c r="AI3" i="6" s="1"/>
  <c r="AH13" i="6"/>
  <c r="AH3" i="6" s="1"/>
  <c r="AG13" i="6"/>
  <c r="AG3" i="6" s="1"/>
  <c r="AF13" i="6"/>
  <c r="AF3" i="6" s="1"/>
  <c r="AE13" i="6"/>
  <c r="AE3" i="6" s="1"/>
  <c r="AD13" i="6"/>
  <c r="AD3" i="6" s="1"/>
  <c r="AC13" i="6"/>
  <c r="AC3" i="6" s="1"/>
  <c r="AB13" i="6"/>
  <c r="AB3" i="6" s="1"/>
  <c r="AA13" i="6"/>
  <c r="AA3" i="6" s="1"/>
  <c r="Z13" i="6"/>
  <c r="Z3" i="6" s="1"/>
  <c r="Y13" i="6"/>
  <c r="Y3" i="6" s="1"/>
  <c r="X13" i="6"/>
  <c r="X3" i="6" s="1"/>
  <c r="W13" i="6"/>
  <c r="W3" i="6" s="1"/>
  <c r="V13" i="6"/>
  <c r="V3" i="6" s="1"/>
  <c r="U13" i="6"/>
  <c r="U3" i="6" s="1"/>
  <c r="T13" i="6"/>
  <c r="T3" i="6" s="1"/>
  <c r="S13" i="6"/>
  <c r="S3" i="6" s="1"/>
  <c r="R13" i="6"/>
  <c r="R3" i="6" s="1"/>
  <c r="Q13" i="6"/>
  <c r="Q3" i="6" s="1"/>
  <c r="P13" i="6"/>
  <c r="P3" i="6" s="1"/>
  <c r="O13" i="6"/>
  <c r="O3" i="6" s="1"/>
  <c r="N13" i="6"/>
  <c r="N3" i="6" s="1"/>
  <c r="M13" i="6"/>
  <c r="M3" i="6" s="1"/>
  <c r="L13" i="6"/>
  <c r="L3" i="6" s="1"/>
  <c r="K13" i="6"/>
  <c r="K3" i="6" s="1"/>
  <c r="J13" i="6"/>
  <c r="J3" i="6" s="1"/>
  <c r="I13" i="6"/>
  <c r="I3" i="6" s="1"/>
  <c r="H13" i="6"/>
  <c r="H3" i="6" s="1"/>
  <c r="G13" i="6"/>
  <c r="G3" i="6" s="1"/>
  <c r="F13" i="6"/>
  <c r="F3" i="6" s="1"/>
  <c r="G24" i="1"/>
  <c r="F24" i="1"/>
  <c r="E24" i="1"/>
  <c r="D24" i="1"/>
  <c r="C24" i="1"/>
  <c r="N6" i="6" l="1"/>
  <c r="N2" i="6" s="1"/>
  <c r="O6" i="6"/>
  <c r="O2" i="6" s="1"/>
  <c r="O4" i="6" s="1"/>
  <c r="N4" i="6"/>
  <c r="L6" i="6"/>
  <c r="L2" i="6" s="1"/>
  <c r="L4" i="6" s="1"/>
  <c r="M6" i="6"/>
  <c r="M2" i="6" s="1"/>
  <c r="M4" i="6" s="1"/>
  <c r="C6" i="6"/>
  <c r="C2" i="6" s="1"/>
  <c r="D6" i="6"/>
  <c r="D2" i="6" s="1"/>
  <c r="C45" i="6"/>
  <c r="C38" i="6" s="1"/>
  <c r="E6" i="6"/>
  <c r="E2" i="6" s="1"/>
  <c r="F6" i="6"/>
  <c r="F2" i="6" s="1"/>
  <c r="F4" i="6" s="1"/>
  <c r="G6" i="6"/>
  <c r="G2" i="6" s="1"/>
  <c r="G4" i="6" s="1"/>
  <c r="D45" i="6"/>
  <c r="E45" i="6"/>
  <c r="H6" i="6"/>
  <c r="H2" i="6" s="1"/>
  <c r="H4" i="6" s="1"/>
  <c r="I6" i="6"/>
  <c r="I2" i="6" s="1"/>
  <c r="I4" i="6" s="1"/>
  <c r="J6" i="6"/>
  <c r="J2" i="6" s="1"/>
  <c r="J4" i="6" s="1"/>
  <c r="K6" i="6"/>
  <c r="K2" i="6" s="1"/>
  <c r="K4" i="6" s="1"/>
  <c r="P6" i="6"/>
  <c r="P2" i="6" s="1"/>
  <c r="P4" i="6" s="1"/>
  <c r="C13" i="6" l="1"/>
  <c r="C3" i="6" s="1"/>
  <c r="C4" i="6" s="1"/>
  <c r="AC6" i="6"/>
  <c r="AC2" i="6" s="1"/>
  <c r="AC4" i="6" s="1"/>
  <c r="AA6" i="6"/>
  <c r="AA2" i="6" s="1"/>
  <c r="AA4" i="6" s="1"/>
  <c r="AB6" i="6"/>
  <c r="AB2" i="6" s="1"/>
  <c r="AB4" i="6" s="1"/>
  <c r="D13" i="6"/>
  <c r="D38" i="6"/>
  <c r="Q6" i="6"/>
  <c r="Q2" i="6" s="1"/>
  <c r="Q4" i="6" s="1"/>
  <c r="AD6" i="6"/>
  <c r="AD2" i="6" s="1"/>
  <c r="AD4" i="6" s="1"/>
  <c r="AG6" i="6"/>
  <c r="AG2" i="6" s="1"/>
  <c r="AG4" i="6" s="1"/>
  <c r="E38" i="6"/>
  <c r="E13" i="6"/>
  <c r="E3" i="6" s="1"/>
  <c r="E4" i="6"/>
  <c r="E58" i="6" s="1"/>
  <c r="F58" i="6" s="1"/>
  <c r="G58" i="6" s="1"/>
  <c r="H58" i="6" s="1"/>
  <c r="I58" i="6" s="1"/>
  <c r="J58" i="6" s="1"/>
  <c r="K58" i="6" s="1"/>
  <c r="L58" i="6" s="1"/>
  <c r="M58" i="6" s="1"/>
  <c r="N58" i="6" s="1"/>
  <c r="O58" i="6" s="1"/>
  <c r="P58" i="6" s="1"/>
  <c r="AM6" i="6" l="1"/>
  <c r="AM2" i="6" s="1"/>
  <c r="AM4" i="6" s="1"/>
  <c r="AI6" i="6"/>
  <c r="AI2" i="6" s="1"/>
  <c r="AI4" i="6" s="1"/>
  <c r="AJ6" i="6"/>
  <c r="AJ2" i="6" s="1"/>
  <c r="AJ4" i="6" s="1"/>
  <c r="AH6" i="6"/>
  <c r="AH2" i="6" s="1"/>
  <c r="AH4" i="6" s="1"/>
  <c r="AO6" i="6"/>
  <c r="AO2" i="6" s="1"/>
  <c r="AO4" i="6" s="1"/>
  <c r="AK6" i="6"/>
  <c r="AK2" i="6" s="1"/>
  <c r="AK4" i="6" s="1"/>
  <c r="AL6" i="6"/>
  <c r="AL2" i="6" s="1"/>
  <c r="AL4" i="6" s="1"/>
  <c r="D3" i="6"/>
  <c r="AP13" i="6"/>
  <c r="R6" i="6"/>
  <c r="R2" i="6" s="1"/>
  <c r="R4" i="6" s="1"/>
  <c r="AN6" i="6"/>
  <c r="AN2" i="6" s="1"/>
  <c r="AN4" i="6" s="1"/>
  <c r="Q58" i="6"/>
  <c r="AF6" i="6"/>
  <c r="AF2" i="6" s="1"/>
  <c r="AF4" i="6" s="1"/>
  <c r="AE6" i="6"/>
  <c r="AE2" i="6" s="1"/>
  <c r="AE4" i="6" s="1"/>
  <c r="R58" i="6" l="1"/>
  <c r="AP3" i="6"/>
  <c r="D4" i="6"/>
  <c r="S6" i="6"/>
  <c r="S2" i="6" s="1"/>
  <c r="S4" i="6" s="1"/>
  <c r="S58" i="6" l="1"/>
  <c r="T6" i="6"/>
  <c r="T2" i="6" s="1"/>
  <c r="T4" i="6" l="1"/>
  <c r="U6" i="6"/>
  <c r="U2" i="6" s="1"/>
  <c r="U4" i="6" s="1"/>
  <c r="V6" i="6" l="1"/>
  <c r="V2" i="6" s="1"/>
  <c r="V4" i="6" s="1"/>
  <c r="T58" i="6"/>
  <c r="U58" i="6" s="1"/>
  <c r="V58" i="6" l="1"/>
  <c r="W6" i="6"/>
  <c r="W2" i="6" s="1"/>
  <c r="W4" i="6" s="1"/>
  <c r="X6" i="6" l="1"/>
  <c r="X2" i="6" s="1"/>
  <c r="X4" i="6" s="1"/>
  <c r="W58" i="6"/>
  <c r="Z6" i="6" l="1"/>
  <c r="X58" i="6"/>
  <c r="Y6" i="6"/>
  <c r="Y2" i="6" s="1"/>
  <c r="Y4" i="6" s="1"/>
  <c r="Y58" i="6" l="1"/>
  <c r="Z2" i="6"/>
  <c r="AP6" i="6"/>
  <c r="Z4" i="6" l="1"/>
  <c r="AP4" i="6" s="1"/>
  <c r="AP2" i="6"/>
  <c r="Z58" i="6" l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AK58" i="6" s="1"/>
  <c r="AL58" i="6" s="1"/>
  <c r="AM58" i="6" s="1"/>
  <c r="AN58" i="6" s="1"/>
  <c r="AO5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Muliterno</author>
  </authors>
  <commentList>
    <comment ref="G21" authorId="0" shapeId="0" xr:uid="{AD65636F-4171-4CDD-AB07-DA5241B24B9F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Efectivo 750€ cada uno</t>
        </r>
      </text>
    </comment>
    <comment ref="E22" authorId="0" shapeId="0" xr:uid="{A09C0AF5-12DA-456C-947F-B790BBD0B4C6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Efectivo 750€ cada uno</t>
        </r>
      </text>
    </comment>
    <comment ref="G27" authorId="0" shapeId="0" xr:uid="{6106078A-C5E7-4749-B80B-8DCAEBA4EC4B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Amazon mobiliario interior</t>
        </r>
      </text>
    </comment>
    <comment ref="F30" authorId="0" shapeId="0" xr:uid="{8A79B805-6013-4FEE-960B-EC679BB596DB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Fianza</t>
        </r>
      </text>
    </comment>
    <comment ref="AC42" authorId="0" shapeId="0" xr:uid="{2CFE128B-5432-4DA2-84DD-A2DF82DDD292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Ens queden 30.960€ de prèstec</t>
        </r>
      </text>
    </comment>
    <comment ref="AC43" authorId="0" shapeId="0" xr:uid="{BD92C74D-71CD-4A09-941F-0220D7D4EB55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Ens queden 14.200€ per pagar de renting</t>
        </r>
      </text>
    </comment>
  </commentList>
</comments>
</file>

<file path=xl/sharedStrings.xml><?xml version="1.0" encoding="utf-8"?>
<sst xmlns="http://schemas.openxmlformats.org/spreadsheetml/2006/main" count="198" uniqueCount="90">
  <si>
    <t>8:00 - 8:55</t>
  </si>
  <si>
    <t>9:00 - 9:55</t>
  </si>
  <si>
    <t>10:00 - 10:55</t>
  </si>
  <si>
    <t>11:00 - 11:55</t>
  </si>
  <si>
    <t>Break</t>
  </si>
  <si>
    <t>17:00 - 17:55</t>
  </si>
  <si>
    <t>18:00 - 18:55</t>
  </si>
  <si>
    <t>19:00 - 19:55</t>
  </si>
  <si>
    <t>20:00 - 20:55</t>
  </si>
  <si>
    <t>INSTRUCTORES</t>
  </si>
  <si>
    <t>Yuruaní</t>
  </si>
  <si>
    <t>Zuzana</t>
  </si>
  <si>
    <t>Gisele</t>
  </si>
  <si>
    <t>HORARIO</t>
  </si>
  <si>
    <t>Lunes</t>
  </si>
  <si>
    <t>Martes</t>
  </si>
  <si>
    <t>Miércoles</t>
  </si>
  <si>
    <t>Jueves</t>
  </si>
  <si>
    <t>Viernes</t>
  </si>
  <si>
    <t>CAPACIDAD</t>
  </si>
  <si>
    <t>BASIC</t>
  </si>
  <si>
    <t>PLUS</t>
  </si>
  <si>
    <t>PRO</t>
  </si>
  <si>
    <t>Alumno 1</t>
  </si>
  <si>
    <t>Alumno 2</t>
  </si>
  <si>
    <t>Alumno 3</t>
  </si>
  <si>
    <t>…</t>
  </si>
  <si>
    <t>PACK 4 CLASES</t>
  </si>
  <si>
    <t>PACK 8 CLASES</t>
  </si>
  <si>
    <t>CLASE SUELTA</t>
  </si>
  <si>
    <t>PACK BENVINGUDA</t>
  </si>
  <si>
    <t>URBAN</t>
  </si>
  <si>
    <t>ALUMNOS (num)</t>
  </si>
  <si>
    <t>ALUMNOS (importe)</t>
  </si>
  <si>
    <t>Insertar gráficos de evolución mes a mes</t>
  </si>
  <si>
    <t>TOTAL INGRESOS MENSUALES</t>
  </si>
  <si>
    <t>TOTAL GASTOS MENSUALES</t>
  </si>
  <si>
    <t>DIFERENCIA INGRESOS - GASTOS</t>
  </si>
  <si>
    <t>INGRESOS</t>
  </si>
  <si>
    <t>GASTOS</t>
  </si>
  <si>
    <t>PRÉSTAMOS</t>
  </si>
  <si>
    <t>INSTALACIONES</t>
  </si>
  <si>
    <t>OBRAS LOCAL AMADEO TRANSFERENCIA</t>
  </si>
  <si>
    <t>OBRAS LOCAL AMADEO EN CASH</t>
  </si>
  <si>
    <t>ARQUITECTO</t>
  </si>
  <si>
    <t>PERMISO DE OBRAS AJUNTAMENT</t>
  </si>
  <si>
    <t>ROTULADO EXTERIOR - SB Graphics</t>
  </si>
  <si>
    <t>MOBILIARIO INTERIOR</t>
  </si>
  <si>
    <t>CLAUS LOCAL</t>
  </si>
  <si>
    <t>CARTELL LOCAL</t>
  </si>
  <si>
    <t>ALQUILER LOCAL</t>
  </si>
  <si>
    <t>SUMINISTROS (LUZ)</t>
  </si>
  <si>
    <t>SUMINISTROS (AGUA)</t>
  </si>
  <si>
    <t>SEGURO GLOBALBROK - OCCIDENTE</t>
  </si>
  <si>
    <t>SPOTIFY</t>
  </si>
  <si>
    <t>LIMPIEZA</t>
  </si>
  <si>
    <t xml:space="preserve">O2 MOVIL - TELÉFONO </t>
  </si>
  <si>
    <t>SUELDO ÚRSULA</t>
  </si>
  <si>
    <t>AUTÓNOMOS YURUANI YEKUANA</t>
  </si>
  <si>
    <t>AUTÓNOMOS PACO</t>
  </si>
  <si>
    <t>PRESTAMO LACAIXA GENERAL (40k al 5% - 72meses)</t>
  </si>
  <si>
    <t>PRESTAMO LACAIXA MÁQUINAS (20K al 5% - 60 meses)</t>
  </si>
  <si>
    <t>IVA REPERCUTIDO A LAS VENTAS</t>
  </si>
  <si>
    <t>COMISIONES STRIPE</t>
  </si>
  <si>
    <t>BOLDU PLA I ASSOCIATS - GESTORÍA</t>
  </si>
  <si>
    <t>MOMENCE</t>
  </si>
  <si>
    <t>MARKETING + MATERIAL</t>
  </si>
  <si>
    <t>MATERIAL A REPONER</t>
  </si>
  <si>
    <t>MERCHANDISING - Aidas Publicidad</t>
  </si>
  <si>
    <t>CAJA (CASH FLOW)</t>
  </si>
  <si>
    <t>CAPITAL SOCIAL</t>
  </si>
  <si>
    <t>PRESTAMO LACAIXA GENERAL (38k al 5% - 72meses)</t>
  </si>
  <si>
    <t>APORTACIÓ EXTRA SOCIS</t>
  </si>
  <si>
    <t>PRECIOS</t>
  </si>
  <si>
    <t>Total 2026</t>
  </si>
  <si>
    <t>Precio/Clase</t>
  </si>
  <si>
    <t>PRESTAMO 1 - OLGA &amp; CARLES (5,5% INTERES EN 72 CUOTAS)</t>
  </si>
  <si>
    <t>PRESTAMO 2 - CELIA  (5,5% INTERES EN 72 CUOTAS)</t>
  </si>
  <si>
    <t>PRESTAMO 3 - VICTOR  (5,5% INTERES EN 72 CUOTAS)</t>
  </si>
  <si>
    <t>BASIC FAMILIAR</t>
  </si>
  <si>
    <t>PLUS FAMILIAR</t>
  </si>
  <si>
    <t>OCUPACIÓN</t>
  </si>
  <si>
    <t>Julia</t>
  </si>
  <si>
    <t>STRIPE</t>
  </si>
  <si>
    <t>APORTACIÓN SOCIO OLGA</t>
  </si>
  <si>
    <t>APORTACIÓN SOCIO CARLES</t>
  </si>
  <si>
    <t>APORTACIÓN SOCIO CELIA</t>
  </si>
  <si>
    <t>APORTACIÓN SOCIO VICTOR</t>
  </si>
  <si>
    <t>BONPILATES</t>
  </si>
  <si>
    <t>Juluia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</si>
</sst>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\ &quot;€&quot;;[Red]\-#,##0.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9">
    <xf numFmtId="0" fontId="0" fillId="0" borderId="0" xfId="0"/>
    <xf numFmtId="0" fontId="0" fillId="4" borderId="0" xfId="0" applyFill="1"/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7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6" fontId="0" fillId="4" borderId="0" xfId="0" applyNumberForma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" fontId="6" fillId="5" borderId="0" xfId="1" applyNumberFormat="1" applyFont="1" applyFill="1" applyBorder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44" fontId="8" fillId="6" borderId="0" xfId="2" applyNumberFormat="1" applyFont="1" applyFill="1" applyBorder="1" applyAlignment="1">
      <alignment horizontal="center" vertical="center"/>
    </xf>
    <xf numFmtId="44" fontId="4" fillId="7" borderId="0" xfId="2" applyNumberFormat="1" applyFont="1" applyFill="1" applyBorder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6" fontId="9" fillId="4" borderId="0" xfId="2" applyNumberFormat="1" applyFont="1" applyFill="1" applyAlignment="1">
      <alignment horizontal="center" vertical="center"/>
    </xf>
    <xf numFmtId="0" fontId="9" fillId="2" borderId="0" xfId="2" applyFont="1" applyAlignment="1">
      <alignment horizontal="center" vertical="center"/>
    </xf>
    <xf numFmtId="44" fontId="9" fillId="2" borderId="0" xfId="2" applyNumberFormat="1" applyFont="1" applyBorder="1" applyAlignment="1">
      <alignment horizontal="center" vertical="center"/>
    </xf>
    <xf numFmtId="6" fontId="9" fillId="2" borderId="0" xfId="2" applyNumberFormat="1" applyFont="1" applyBorder="1" applyAlignment="1">
      <alignment horizontal="center" vertical="center"/>
    </xf>
    <xf numFmtId="44" fontId="4" fillId="8" borderId="0" xfId="2" applyNumberFormat="1" applyFont="1" applyFill="1" applyBorder="1" applyAlignment="1">
      <alignment horizontal="center" vertical="center"/>
    </xf>
    <xf numFmtId="0" fontId="2" fillId="4" borderId="0" xfId="2" applyFill="1" applyAlignment="1">
      <alignment horizontal="center" vertical="center"/>
    </xf>
    <xf numFmtId="0" fontId="10" fillId="9" borderId="0" xfId="2" applyFont="1" applyFill="1" applyAlignment="1">
      <alignment horizontal="center" vertical="center"/>
    </xf>
    <xf numFmtId="8" fontId="10" fillId="9" borderId="0" xfId="2" applyNumberFormat="1" applyFont="1" applyFill="1" applyBorder="1" applyAlignment="1">
      <alignment horizontal="center" vertical="center"/>
    </xf>
    <xf numFmtId="44" fontId="10" fillId="9" borderId="0" xfId="2" applyNumberFormat="1" applyFont="1" applyFill="1" applyBorder="1" applyAlignment="1">
      <alignment horizontal="center" vertical="center"/>
    </xf>
    <xf numFmtId="8" fontId="10" fillId="10" borderId="0" xfId="2" applyNumberFormat="1" applyFont="1" applyFill="1" applyBorder="1" applyAlignment="1">
      <alignment horizontal="center" vertical="center"/>
    </xf>
    <xf numFmtId="8" fontId="2" fillId="4" borderId="0" xfId="2" applyNumberFormat="1" applyFill="1" applyAlignment="1">
      <alignment horizontal="center" vertical="center"/>
    </xf>
    <xf numFmtId="0" fontId="3" fillId="4" borderId="0" xfId="3" applyFill="1" applyBorder="1" applyAlignment="1">
      <alignment horizontal="center" vertical="center"/>
    </xf>
    <xf numFmtId="44" fontId="3" fillId="4" borderId="0" xfId="3" applyNumberFormat="1" applyFill="1" applyBorder="1" applyAlignment="1">
      <alignment horizontal="center" vertical="center"/>
    </xf>
    <xf numFmtId="8" fontId="3" fillId="4" borderId="0" xfId="3" applyNumberFormat="1" applyFill="1" applyBorder="1" applyAlignment="1">
      <alignment horizontal="center" vertical="center"/>
    </xf>
    <xf numFmtId="0" fontId="11" fillId="11" borderId="0" xfId="2" applyFont="1" applyFill="1" applyAlignment="1">
      <alignment horizontal="center" vertical="center"/>
    </xf>
    <xf numFmtId="0" fontId="8" fillId="11" borderId="0" xfId="2" applyFont="1" applyFill="1" applyAlignment="1">
      <alignment horizontal="center" vertical="center"/>
    </xf>
    <xf numFmtId="44" fontId="11" fillId="11" borderId="0" xfId="2" applyNumberFormat="1" applyFont="1" applyFill="1" applyBorder="1" applyAlignment="1">
      <alignment horizontal="center" vertical="center"/>
    </xf>
    <xf numFmtId="44" fontId="11" fillId="11" borderId="0" xfId="2" applyNumberFormat="1" applyFont="1" applyFill="1" applyAlignment="1">
      <alignment horizontal="center" vertical="center"/>
    </xf>
    <xf numFmtId="0" fontId="11" fillId="4" borderId="0" xfId="2" applyFont="1" applyFill="1" applyAlignment="1">
      <alignment horizontal="center" vertical="center"/>
    </xf>
    <xf numFmtId="8" fontId="12" fillId="4" borderId="0" xfId="2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4" fontId="1" fillId="4" borderId="0" xfId="1" applyFont="1" applyFill="1" applyBorder="1" applyAlignment="1">
      <alignment horizontal="center" vertical="center"/>
    </xf>
    <xf numFmtId="44" fontId="1" fillId="4" borderId="0" xfId="0" applyNumberFormat="1" applyFont="1" applyFill="1" applyAlignment="1">
      <alignment horizontal="center" vertical="center"/>
    </xf>
    <xf numFmtId="0" fontId="13" fillId="11" borderId="0" xfId="2" applyFont="1" applyFill="1" applyAlignment="1">
      <alignment horizontal="center" vertical="center"/>
    </xf>
    <xf numFmtId="6" fontId="11" fillId="11" borderId="0" xfId="2" applyNumberFormat="1" applyFont="1" applyFill="1" applyBorder="1" applyAlignment="1">
      <alignment horizontal="center" vertical="center"/>
    </xf>
    <xf numFmtId="6" fontId="11" fillId="11" borderId="0" xfId="2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6" fontId="1" fillId="4" borderId="0" xfId="1" applyNumberFormat="1" applyFont="1" applyFill="1" applyBorder="1" applyAlignment="1">
      <alignment horizontal="center" vertical="center"/>
    </xf>
    <xf numFmtId="44" fontId="5" fillId="4" borderId="0" xfId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4" fontId="11" fillId="11" borderId="0" xfId="2" applyNumberFormat="1" applyFont="1" applyFill="1" applyBorder="1" applyAlignment="1">
      <alignment horizontal="center" vertical="center"/>
    </xf>
    <xf numFmtId="164" fontId="1" fillId="4" borderId="0" xfId="1" applyNumberFormat="1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" fontId="6" fillId="12" borderId="0" xfId="1" applyNumberFormat="1" applyFont="1" applyFill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</cellXfs>
  <cellStyles count="4">
    <cellStyle name="Incorrecto" xfId="2" builtinId="27"/>
    <cellStyle name="Moneda" xfId="1" builtinId="4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7A22-825C-44C9-9424-ABB0B247BF2C}">
  <dimension ref="B2:D11"/>
  <sheetViews>
    <sheetView workbookViewId="0">
      <selection activeCell="E17" sqref="E17"/>
    </sheetView>
  </sheetViews>
  <sheetFormatPr baseColWidth="10" defaultRowHeight="14.4" x14ac:dyDescent="0.3"/>
  <cols>
    <col min="1" max="1" width="11.5546875" style="1"/>
    <col min="2" max="2" width="17.109375" style="1" bestFit="1" customWidth="1"/>
    <col min="3" max="16384" width="11.5546875" style="1"/>
  </cols>
  <sheetData>
    <row r="2" spans="2:4" x14ac:dyDescent="0.3">
      <c r="B2" s="9" t="s">
        <v>73</v>
      </c>
      <c r="C2" s="47" t="s">
        <v>74</v>
      </c>
      <c r="D2" s="47" t="s">
        <v>75</v>
      </c>
    </row>
    <row r="3" spans="2:4" x14ac:dyDescent="0.3">
      <c r="B3" s="5" t="s">
        <v>20</v>
      </c>
      <c r="C3" s="7">
        <v>75</v>
      </c>
      <c r="D3" s="48">
        <f>C3/4</f>
        <v>18.75</v>
      </c>
    </row>
    <row r="4" spans="2:4" x14ac:dyDescent="0.3">
      <c r="B4" s="5" t="s">
        <v>79</v>
      </c>
      <c r="C4" s="7">
        <v>37.5</v>
      </c>
      <c r="D4" s="48">
        <f>C4/4</f>
        <v>9.375</v>
      </c>
    </row>
    <row r="5" spans="2:4" x14ac:dyDescent="0.3">
      <c r="B5" s="5" t="s">
        <v>21</v>
      </c>
      <c r="C5" s="7">
        <v>140</v>
      </c>
      <c r="D5" s="48">
        <f>C5/8</f>
        <v>17.5</v>
      </c>
    </row>
    <row r="6" spans="2:4" x14ac:dyDescent="0.3">
      <c r="B6" s="5" t="s">
        <v>80</v>
      </c>
      <c r="C6" s="7">
        <f>C5/2</f>
        <v>70</v>
      </c>
      <c r="D6" s="48">
        <f>C6/8</f>
        <v>8.75</v>
      </c>
    </row>
    <row r="7" spans="2:4" x14ac:dyDescent="0.3">
      <c r="B7" s="5" t="s">
        <v>22</v>
      </c>
      <c r="C7" s="7">
        <v>180</v>
      </c>
      <c r="D7" s="48">
        <f>C7/12</f>
        <v>15</v>
      </c>
    </row>
    <row r="8" spans="2:4" x14ac:dyDescent="0.3">
      <c r="B8" s="6" t="s">
        <v>27</v>
      </c>
      <c r="C8" s="7">
        <v>90</v>
      </c>
      <c r="D8" s="48">
        <f>C8/4</f>
        <v>22.5</v>
      </c>
    </row>
    <row r="9" spans="2:4" x14ac:dyDescent="0.3">
      <c r="B9" s="6" t="s">
        <v>28</v>
      </c>
      <c r="C9" s="7">
        <v>170</v>
      </c>
      <c r="D9" s="48">
        <f>C9/8</f>
        <v>21.25</v>
      </c>
    </row>
    <row r="10" spans="2:4" x14ac:dyDescent="0.3">
      <c r="B10" s="5" t="s">
        <v>30</v>
      </c>
      <c r="C10" s="7">
        <v>25</v>
      </c>
      <c r="D10" s="48">
        <f>C10/2</f>
        <v>12.5</v>
      </c>
    </row>
    <row r="11" spans="2:4" x14ac:dyDescent="0.3">
      <c r="B11" s="5" t="s">
        <v>29</v>
      </c>
      <c r="C11" s="41">
        <v>20</v>
      </c>
      <c r="D11" s="48">
        <f>C11/1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ABE1-30CB-49C5-AF1B-D8339CFEE09F}">
  <dimension ref="B1:I37"/>
  <sheetViews>
    <sheetView zoomScale="95" workbookViewId="0">
      <selection activeCell="F8" sqref="F8"/>
    </sheetView>
  </sheetViews>
  <sheetFormatPr baseColWidth="10" defaultRowHeight="14.4" x14ac:dyDescent="0.3"/>
  <cols>
    <col min="1" max="1" width="11.5546875" style="1"/>
    <col min="2" max="2" width="13.88671875" style="1" bestFit="1" customWidth="1"/>
    <col min="3" max="16384" width="11.5546875" style="1"/>
  </cols>
  <sheetData>
    <row r="1" spans="2:9" x14ac:dyDescent="0.3">
      <c r="B1" s="3"/>
      <c r="C1" s="3"/>
      <c r="D1" s="3"/>
      <c r="E1" s="3"/>
      <c r="F1" s="3"/>
      <c r="G1" s="3"/>
      <c r="H1" s="3"/>
      <c r="I1" s="2"/>
    </row>
    <row r="2" spans="2:9" x14ac:dyDescent="0.3"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  <row r="3" spans="2:9" x14ac:dyDescent="0.3">
      <c r="B3" s="3" t="s">
        <v>0</v>
      </c>
      <c r="C3" s="3"/>
      <c r="D3" s="3" t="s">
        <v>10</v>
      </c>
      <c r="E3" s="3"/>
      <c r="F3" s="3" t="s">
        <v>10</v>
      </c>
      <c r="G3" s="3" t="s">
        <v>10</v>
      </c>
    </row>
    <row r="4" spans="2:9" x14ac:dyDescent="0.3">
      <c r="B4" s="3" t="s">
        <v>1</v>
      </c>
      <c r="C4" s="3"/>
      <c r="D4" s="3" t="s">
        <v>10</v>
      </c>
      <c r="E4" s="3"/>
      <c r="F4" s="3" t="s">
        <v>10</v>
      </c>
      <c r="G4" s="3" t="s">
        <v>10</v>
      </c>
    </row>
    <row r="5" spans="2:9" x14ac:dyDescent="0.3">
      <c r="B5" s="3" t="s">
        <v>2</v>
      </c>
      <c r="C5" s="3"/>
      <c r="D5" s="3" t="s">
        <v>10</v>
      </c>
      <c r="E5" s="3"/>
      <c r="F5" s="3" t="s">
        <v>10</v>
      </c>
      <c r="G5" s="3" t="s">
        <v>10</v>
      </c>
    </row>
    <row r="6" spans="2:9" x14ac:dyDescent="0.3">
      <c r="B6" s="3" t="s">
        <v>3</v>
      </c>
      <c r="C6" s="3"/>
      <c r="D6" s="3" t="s">
        <v>10</v>
      </c>
      <c r="E6" s="3"/>
      <c r="F6" s="3" t="s">
        <v>10</v>
      </c>
      <c r="G6" s="3" t="s">
        <v>10</v>
      </c>
    </row>
    <row r="7" spans="2:9" x14ac:dyDescent="0.3">
      <c r="B7" s="3" t="s">
        <v>4</v>
      </c>
      <c r="C7" s="3"/>
      <c r="D7" s="3"/>
      <c r="E7" s="3"/>
      <c r="F7" s="3"/>
      <c r="G7" s="3"/>
    </row>
    <row r="8" spans="2:9" x14ac:dyDescent="0.3">
      <c r="B8" s="3" t="s">
        <v>5</v>
      </c>
      <c r="C8" s="3" t="s">
        <v>10</v>
      </c>
      <c r="D8" s="3" t="s">
        <v>11</v>
      </c>
      <c r="E8" s="3" t="s">
        <v>12</v>
      </c>
      <c r="F8" s="3" t="s">
        <v>11</v>
      </c>
      <c r="G8" s="3" t="s">
        <v>12</v>
      </c>
    </row>
    <row r="9" spans="2:9" x14ac:dyDescent="0.3">
      <c r="B9" s="3" t="s">
        <v>6</v>
      </c>
      <c r="C9" s="3" t="s">
        <v>10</v>
      </c>
      <c r="D9" s="3" t="s">
        <v>11</v>
      </c>
      <c r="E9" s="3" t="s">
        <v>12</v>
      </c>
      <c r="F9" s="3" t="s">
        <v>11</v>
      </c>
      <c r="G9" s="3" t="s">
        <v>12</v>
      </c>
    </row>
    <row r="10" spans="2:9" x14ac:dyDescent="0.3">
      <c r="B10" s="3" t="s">
        <v>7</v>
      </c>
      <c r="C10" s="3" t="s">
        <v>10</v>
      </c>
      <c r="D10" s="3" t="s">
        <v>11</v>
      </c>
      <c r="E10" s="3" t="s">
        <v>12</v>
      </c>
      <c r="F10" s="3" t="s">
        <v>11</v>
      </c>
      <c r="G10" s="3" t="s">
        <v>12</v>
      </c>
    </row>
    <row r="11" spans="2:9" x14ac:dyDescent="0.3">
      <c r="B11" s="3" t="s">
        <v>8</v>
      </c>
      <c r="C11" s="3" t="s">
        <v>10</v>
      </c>
      <c r="D11" s="3" t="s">
        <v>11</v>
      </c>
      <c r="E11" s="3" t="s">
        <v>12</v>
      </c>
      <c r="F11" s="3" t="s">
        <v>11</v>
      </c>
      <c r="G11" s="3" t="s">
        <v>12</v>
      </c>
    </row>
    <row r="14" spans="2:9" x14ac:dyDescent="0.3">
      <c r="B14" s="2" t="s">
        <v>19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</row>
    <row r="15" spans="2:9" x14ac:dyDescent="0.3">
      <c r="B15" s="3" t="s">
        <v>0</v>
      </c>
      <c r="C15" s="3"/>
      <c r="D15" s="3">
        <v>5</v>
      </c>
      <c r="E15" s="3"/>
      <c r="F15" s="3">
        <v>5</v>
      </c>
      <c r="G15" s="3">
        <v>5</v>
      </c>
    </row>
    <row r="16" spans="2:9" x14ac:dyDescent="0.3">
      <c r="B16" s="3" t="s">
        <v>1</v>
      </c>
      <c r="C16" s="3"/>
      <c r="D16" s="3">
        <v>5</v>
      </c>
      <c r="E16" s="3"/>
      <c r="F16" s="3">
        <v>5</v>
      </c>
      <c r="G16" s="3">
        <v>5</v>
      </c>
    </row>
    <row r="17" spans="2:8" x14ac:dyDescent="0.3">
      <c r="B17" s="3" t="s">
        <v>2</v>
      </c>
      <c r="C17" s="3"/>
      <c r="D17" s="3">
        <v>5</v>
      </c>
      <c r="E17" s="3"/>
      <c r="F17" s="3">
        <v>5</v>
      </c>
      <c r="G17" s="3">
        <v>5</v>
      </c>
    </row>
    <row r="18" spans="2:8" x14ac:dyDescent="0.3">
      <c r="B18" s="3" t="s">
        <v>3</v>
      </c>
      <c r="C18" s="3"/>
      <c r="D18" s="3">
        <v>5</v>
      </c>
      <c r="E18" s="3"/>
      <c r="F18" s="3">
        <v>5</v>
      </c>
      <c r="G18" s="3">
        <v>5</v>
      </c>
    </row>
    <row r="19" spans="2:8" x14ac:dyDescent="0.3">
      <c r="B19" s="3" t="s">
        <v>4</v>
      </c>
      <c r="C19" s="3"/>
      <c r="D19" s="3"/>
      <c r="E19" s="3"/>
      <c r="F19" s="3"/>
      <c r="G19" s="3"/>
    </row>
    <row r="20" spans="2:8" x14ac:dyDescent="0.3">
      <c r="B20" s="3" t="s">
        <v>5</v>
      </c>
      <c r="C20" s="3">
        <v>5</v>
      </c>
      <c r="D20" s="3">
        <v>5</v>
      </c>
      <c r="E20" s="3">
        <v>5</v>
      </c>
      <c r="F20" s="3">
        <v>5</v>
      </c>
      <c r="G20" s="3">
        <v>5</v>
      </c>
    </row>
    <row r="21" spans="2:8" x14ac:dyDescent="0.3">
      <c r="B21" s="3" t="s">
        <v>6</v>
      </c>
      <c r="C21" s="3">
        <v>5</v>
      </c>
      <c r="D21" s="3">
        <v>5</v>
      </c>
      <c r="E21" s="3">
        <v>5</v>
      </c>
      <c r="F21" s="3">
        <v>5</v>
      </c>
      <c r="G21" s="3">
        <v>5</v>
      </c>
    </row>
    <row r="22" spans="2:8" x14ac:dyDescent="0.3">
      <c r="B22" s="3" t="s">
        <v>7</v>
      </c>
      <c r="C22" s="3">
        <v>5</v>
      </c>
      <c r="D22" s="3">
        <v>5</v>
      </c>
      <c r="E22" s="3">
        <v>5</v>
      </c>
      <c r="F22" s="3">
        <v>5</v>
      </c>
      <c r="G22" s="3">
        <v>5</v>
      </c>
    </row>
    <row r="23" spans="2:8" x14ac:dyDescent="0.3">
      <c r="B23" s="3" t="s">
        <v>8</v>
      </c>
      <c r="C23" s="3">
        <v>5</v>
      </c>
      <c r="D23" s="3">
        <v>5</v>
      </c>
      <c r="E23" s="3">
        <v>5</v>
      </c>
      <c r="F23" s="3">
        <v>5</v>
      </c>
      <c r="G23" s="3">
        <v>5</v>
      </c>
    </row>
    <row r="24" spans="2:8" x14ac:dyDescent="0.3">
      <c r="C24" s="3">
        <f>SUM(C15:C23)</f>
        <v>20</v>
      </c>
      <c r="D24" s="3">
        <f t="shared" ref="D24:G24" si="0">SUM(D15:D23)</f>
        <v>40</v>
      </c>
      <c r="E24" s="3">
        <f t="shared" si="0"/>
        <v>20</v>
      </c>
      <c r="F24" s="3">
        <f t="shared" si="0"/>
        <v>40</v>
      </c>
      <c r="G24" s="3">
        <f t="shared" si="0"/>
        <v>40</v>
      </c>
      <c r="H24" s="3"/>
    </row>
    <row r="27" spans="2:8" x14ac:dyDescent="0.3">
      <c r="B27" s="2" t="s">
        <v>81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18</v>
      </c>
    </row>
    <row r="28" spans="2:8" x14ac:dyDescent="0.3">
      <c r="B28" s="3" t="s">
        <v>0</v>
      </c>
      <c r="C28" s="3"/>
      <c r="D28" s="3">
        <v>5</v>
      </c>
      <c r="E28" s="3"/>
      <c r="F28" s="3">
        <v>5</v>
      </c>
      <c r="G28" s="3">
        <v>5</v>
      </c>
    </row>
    <row r="29" spans="2:8" x14ac:dyDescent="0.3">
      <c r="B29" s="3" t="s">
        <v>1</v>
      </c>
      <c r="C29" s="3"/>
      <c r="D29" s="3">
        <v>5</v>
      </c>
      <c r="E29" s="3"/>
      <c r="F29" s="3">
        <v>5</v>
      </c>
      <c r="G29" s="3">
        <v>5</v>
      </c>
    </row>
    <row r="30" spans="2:8" x14ac:dyDescent="0.3">
      <c r="B30" s="3" t="s">
        <v>2</v>
      </c>
      <c r="C30" s="3"/>
      <c r="D30" s="3">
        <v>5</v>
      </c>
      <c r="E30" s="3"/>
      <c r="F30" s="3">
        <v>5</v>
      </c>
      <c r="G30" s="3">
        <v>5</v>
      </c>
    </row>
    <row r="31" spans="2:8" x14ac:dyDescent="0.3">
      <c r="B31" s="3" t="s">
        <v>3</v>
      </c>
      <c r="C31" s="3"/>
      <c r="D31" s="3">
        <v>5</v>
      </c>
      <c r="E31" s="3"/>
      <c r="F31" s="3">
        <v>5</v>
      </c>
      <c r="G31" s="3">
        <v>5</v>
      </c>
    </row>
    <row r="32" spans="2:8" x14ac:dyDescent="0.3">
      <c r="B32" s="3" t="s">
        <v>4</v>
      </c>
      <c r="C32" s="3"/>
      <c r="D32" s="3"/>
      <c r="E32" s="3"/>
      <c r="F32" s="3"/>
      <c r="G32" s="3"/>
    </row>
    <row r="33" spans="2:7" x14ac:dyDescent="0.3">
      <c r="B33" s="3" t="s">
        <v>5</v>
      </c>
      <c r="C33" s="3">
        <v>5</v>
      </c>
      <c r="D33" s="3">
        <v>5</v>
      </c>
      <c r="E33" s="3">
        <v>5</v>
      </c>
      <c r="F33" s="3">
        <v>5</v>
      </c>
      <c r="G33" s="3">
        <v>5</v>
      </c>
    </row>
    <row r="34" spans="2:7" x14ac:dyDescent="0.3">
      <c r="B34" s="3" t="s">
        <v>6</v>
      </c>
      <c r="C34" s="3">
        <v>5</v>
      </c>
      <c r="D34" s="3">
        <v>5</v>
      </c>
      <c r="E34" s="3">
        <v>5</v>
      </c>
      <c r="F34" s="3">
        <v>5</v>
      </c>
      <c r="G34" s="3">
        <v>5</v>
      </c>
    </row>
    <row r="35" spans="2:7" x14ac:dyDescent="0.3">
      <c r="B35" s="3" t="s">
        <v>7</v>
      </c>
      <c r="C35" s="3">
        <v>5</v>
      </c>
      <c r="D35" s="3">
        <v>5</v>
      </c>
      <c r="E35" s="3">
        <v>5</v>
      </c>
      <c r="F35" s="3">
        <v>5</v>
      </c>
      <c r="G35" s="3">
        <v>5</v>
      </c>
    </row>
    <row r="36" spans="2:7" x14ac:dyDescent="0.3">
      <c r="B36" s="3" t="s">
        <v>8</v>
      </c>
      <c r="C36" s="3">
        <v>5</v>
      </c>
      <c r="D36" s="3">
        <v>5</v>
      </c>
      <c r="E36" s="3">
        <v>5</v>
      </c>
      <c r="F36" s="3">
        <v>5</v>
      </c>
      <c r="G36" s="3">
        <v>5</v>
      </c>
    </row>
    <row r="37" spans="2:7" x14ac:dyDescent="0.3">
      <c r="C37" s="3">
        <f>SUM(C28:C36)</f>
        <v>20</v>
      </c>
      <c r="D37" s="3">
        <f t="shared" ref="D37" si="1">SUM(D28:D36)</f>
        <v>40</v>
      </c>
      <c r="E37" s="3">
        <f t="shared" ref="E37" si="2">SUM(E28:E36)</f>
        <v>20</v>
      </c>
      <c r="F37" s="3">
        <f t="shared" ref="F37" si="3">SUM(F28:F36)</f>
        <v>40</v>
      </c>
      <c r="G37" s="3">
        <f t="shared" ref="G37" si="4">SUM(G28:G36)</f>
        <v>40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B1DF-77CD-4132-B67C-E27EEFACD0CB}">
  <dimension ref="B2:Y45"/>
  <sheetViews>
    <sheetView zoomScale="90" workbookViewId="0">
      <selection activeCell="F45" sqref="F45"/>
    </sheetView>
  </sheetViews>
  <sheetFormatPr baseColWidth="10" defaultRowHeight="14.4" x14ac:dyDescent="0.3"/>
  <cols>
    <col min="1" max="1" width="11.5546875" style="5"/>
    <col min="2" max="2" width="14.5546875" style="5" bestFit="1" customWidth="1"/>
    <col min="3" max="3" width="14.5546875" style="5" customWidth="1"/>
    <col min="4" max="16384" width="11.5546875" style="5"/>
  </cols>
  <sheetData>
    <row r="2" spans="2:25" x14ac:dyDescent="0.3">
      <c r="B2" s="6" t="s">
        <v>20</v>
      </c>
      <c r="C2" s="4">
        <v>46054</v>
      </c>
      <c r="D2" s="4">
        <v>46082</v>
      </c>
      <c r="E2" s="4">
        <v>46113</v>
      </c>
      <c r="F2" s="4">
        <v>46143</v>
      </c>
      <c r="G2" s="4">
        <v>46174</v>
      </c>
      <c r="H2" s="4">
        <v>46204</v>
      </c>
      <c r="I2" s="4">
        <v>46235</v>
      </c>
      <c r="J2" s="4">
        <v>46266</v>
      </c>
      <c r="K2" s="4">
        <v>46296</v>
      </c>
      <c r="L2" s="4">
        <v>46327</v>
      </c>
      <c r="M2" s="4">
        <v>46357</v>
      </c>
      <c r="N2" s="4">
        <v>46388</v>
      </c>
      <c r="O2" s="4">
        <v>46419</v>
      </c>
      <c r="P2" s="4">
        <v>46447</v>
      </c>
      <c r="Q2" s="4">
        <v>46478</v>
      </c>
      <c r="R2" s="4">
        <v>46508</v>
      </c>
      <c r="S2" s="4">
        <v>46539</v>
      </c>
      <c r="T2" s="4">
        <v>46569</v>
      </c>
      <c r="U2" s="4">
        <v>46600</v>
      </c>
      <c r="V2" s="4">
        <v>46631</v>
      </c>
      <c r="W2" s="4">
        <v>46661</v>
      </c>
      <c r="X2" s="4">
        <v>46692</v>
      </c>
      <c r="Y2" s="4">
        <v>46722</v>
      </c>
    </row>
    <row r="3" spans="2:25" x14ac:dyDescent="0.3">
      <c r="B3" s="5" t="s">
        <v>82</v>
      </c>
      <c r="C3" s="7"/>
      <c r="D3" s="7"/>
      <c r="E3" s="7"/>
      <c r="F3" s="7"/>
    </row>
    <row r="4" spans="2:25" x14ac:dyDescent="0.3">
      <c r="B4" s="5" t="s">
        <v>24</v>
      </c>
    </row>
    <row r="5" spans="2:25" x14ac:dyDescent="0.3">
      <c r="B5" s="5" t="s">
        <v>25</v>
      </c>
    </row>
    <row r="6" spans="2:25" x14ac:dyDescent="0.3">
      <c r="B6" s="5" t="s">
        <v>26</v>
      </c>
    </row>
    <row r="7" spans="2:25" x14ac:dyDescent="0.3">
      <c r="B7" s="6" t="s">
        <v>21</v>
      </c>
      <c r="C7" s="6"/>
    </row>
    <row r="8" spans="2:25" x14ac:dyDescent="0.3">
      <c r="B8" s="5" t="s">
        <v>23</v>
      </c>
    </row>
    <row r="9" spans="2:25" x14ac:dyDescent="0.3">
      <c r="B9" s="5" t="s">
        <v>24</v>
      </c>
    </row>
    <row r="10" spans="2:25" x14ac:dyDescent="0.3">
      <c r="B10" s="5" t="s">
        <v>25</v>
      </c>
    </row>
    <row r="11" spans="2:25" x14ac:dyDescent="0.3">
      <c r="B11" s="5" t="s">
        <v>26</v>
      </c>
    </row>
    <row r="12" spans="2:25" x14ac:dyDescent="0.3">
      <c r="B12" s="6" t="s">
        <v>22</v>
      </c>
      <c r="C12" s="6"/>
    </row>
    <row r="13" spans="2:25" x14ac:dyDescent="0.3">
      <c r="B13" s="5" t="s">
        <v>23</v>
      </c>
    </row>
    <row r="14" spans="2:25" x14ac:dyDescent="0.3">
      <c r="B14" s="5" t="s">
        <v>24</v>
      </c>
    </row>
    <row r="15" spans="2:25" x14ac:dyDescent="0.3">
      <c r="B15" s="5" t="s">
        <v>25</v>
      </c>
    </row>
    <row r="16" spans="2:25" x14ac:dyDescent="0.3">
      <c r="B16" s="5" t="s">
        <v>26</v>
      </c>
    </row>
    <row r="17" spans="2:3" x14ac:dyDescent="0.3">
      <c r="B17" s="6" t="s">
        <v>27</v>
      </c>
      <c r="C17" s="6"/>
    </row>
    <row r="18" spans="2:3" x14ac:dyDescent="0.3">
      <c r="B18" s="5" t="s">
        <v>23</v>
      </c>
    </row>
    <row r="19" spans="2:3" x14ac:dyDescent="0.3">
      <c r="B19" s="5" t="s">
        <v>24</v>
      </c>
    </row>
    <row r="20" spans="2:3" x14ac:dyDescent="0.3">
      <c r="B20" s="5" t="s">
        <v>25</v>
      </c>
    </row>
    <row r="21" spans="2:3" x14ac:dyDescent="0.3">
      <c r="B21" s="5" t="s">
        <v>26</v>
      </c>
    </row>
    <row r="22" spans="2:3" x14ac:dyDescent="0.3">
      <c r="B22" s="6" t="s">
        <v>28</v>
      </c>
      <c r="C22" s="6"/>
    </row>
    <row r="23" spans="2:3" x14ac:dyDescent="0.3">
      <c r="B23" s="5" t="s">
        <v>23</v>
      </c>
    </row>
    <row r="24" spans="2:3" x14ac:dyDescent="0.3">
      <c r="B24" s="5" t="s">
        <v>24</v>
      </c>
    </row>
    <row r="25" spans="2:3" x14ac:dyDescent="0.3">
      <c r="B25" s="5" t="s">
        <v>25</v>
      </c>
    </row>
    <row r="26" spans="2:3" x14ac:dyDescent="0.3">
      <c r="B26" s="5" t="s">
        <v>26</v>
      </c>
    </row>
    <row r="27" spans="2:3" x14ac:dyDescent="0.3">
      <c r="B27" s="6" t="s">
        <v>30</v>
      </c>
      <c r="C27" s="6"/>
    </row>
    <row r="28" spans="2:3" x14ac:dyDescent="0.3">
      <c r="B28" s="5" t="s">
        <v>23</v>
      </c>
    </row>
    <row r="29" spans="2:3" x14ac:dyDescent="0.3">
      <c r="B29" s="5" t="s">
        <v>24</v>
      </c>
    </row>
    <row r="30" spans="2:3" x14ac:dyDescent="0.3">
      <c r="B30" s="5" t="s">
        <v>25</v>
      </c>
    </row>
    <row r="31" spans="2:3" x14ac:dyDescent="0.3">
      <c r="B31" s="5" t="s">
        <v>26</v>
      </c>
    </row>
    <row r="32" spans="2:3" x14ac:dyDescent="0.3">
      <c r="B32" s="6" t="s">
        <v>29</v>
      </c>
      <c r="C32" s="6"/>
    </row>
    <row r="33" spans="2:5" x14ac:dyDescent="0.3">
      <c r="B33" s="5" t="s">
        <v>23</v>
      </c>
    </row>
    <row r="34" spans="2:5" x14ac:dyDescent="0.3">
      <c r="B34" s="5" t="s">
        <v>24</v>
      </c>
    </row>
    <row r="35" spans="2:5" x14ac:dyDescent="0.3">
      <c r="B35" s="5" t="s">
        <v>25</v>
      </c>
    </row>
    <row r="36" spans="2:5" x14ac:dyDescent="0.3">
      <c r="B36" s="5" t="s">
        <v>26</v>
      </c>
    </row>
    <row r="37" spans="2:5" x14ac:dyDescent="0.3">
      <c r="B37" s="6" t="s">
        <v>31</v>
      </c>
      <c r="C37" s="6"/>
    </row>
    <row r="38" spans="2:5" x14ac:dyDescent="0.3">
      <c r="B38" s="5" t="s">
        <v>23</v>
      </c>
    </row>
    <row r="39" spans="2:5" x14ac:dyDescent="0.3">
      <c r="B39" s="5" t="s">
        <v>24</v>
      </c>
    </row>
    <row r="40" spans="2:5" x14ac:dyDescent="0.3">
      <c r="B40" s="5" t="s">
        <v>25</v>
      </c>
    </row>
    <row r="41" spans="2:5" x14ac:dyDescent="0.3">
      <c r="B41" s="5" t="s">
        <v>26</v>
      </c>
    </row>
    <row r="45" spans="2:5" x14ac:dyDescent="0.3">
      <c r="B45" s="5" t="s">
        <v>89</v>
      </c>
      <c r="C45" s="5">
        <v>79</v>
      </c>
      <c r="D45" s="5">
        <v>140</v>
      </c>
      <c r="E45" s="5">
        <v>0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4C9E-9658-4A5C-8131-E335A125CF8C}">
  <dimension ref="B2:Y25"/>
  <sheetViews>
    <sheetView zoomScale="89" workbookViewId="0">
      <selection activeCell="F19" sqref="F19"/>
    </sheetView>
  </sheetViews>
  <sheetFormatPr baseColWidth="10" defaultRowHeight="14.4" x14ac:dyDescent="0.3"/>
  <cols>
    <col min="1" max="1" width="11.5546875" style="5"/>
    <col min="2" max="2" width="17.88671875" style="5" bestFit="1" customWidth="1"/>
    <col min="3" max="3" width="17.88671875" style="5" customWidth="1"/>
    <col min="4" max="16384" width="11.5546875" style="5"/>
  </cols>
  <sheetData>
    <row r="2" spans="2:25" x14ac:dyDescent="0.3">
      <c r="B2" s="6" t="s">
        <v>32</v>
      </c>
      <c r="C2" s="4">
        <v>46054</v>
      </c>
      <c r="D2" s="4">
        <v>46082</v>
      </c>
      <c r="E2" s="4">
        <v>46113</v>
      </c>
      <c r="F2" s="4">
        <v>46143</v>
      </c>
      <c r="G2" s="4">
        <v>46174</v>
      </c>
      <c r="H2" s="4">
        <v>46204</v>
      </c>
      <c r="I2" s="4">
        <v>46235</v>
      </c>
      <c r="J2" s="4">
        <v>46266</v>
      </c>
      <c r="K2" s="4">
        <v>46296</v>
      </c>
      <c r="L2" s="4">
        <v>46327</v>
      </c>
      <c r="M2" s="4">
        <v>46357</v>
      </c>
      <c r="N2" s="4">
        <v>46388</v>
      </c>
      <c r="O2" s="4">
        <v>46419</v>
      </c>
      <c r="P2" s="4">
        <v>46447</v>
      </c>
      <c r="Q2" s="4">
        <v>46478</v>
      </c>
      <c r="R2" s="4">
        <v>46508</v>
      </c>
      <c r="S2" s="4">
        <v>46539</v>
      </c>
      <c r="T2" s="4">
        <v>46569</v>
      </c>
      <c r="U2" s="4">
        <v>46600</v>
      </c>
      <c r="V2" s="4">
        <v>46631</v>
      </c>
      <c r="W2" s="4">
        <v>46661</v>
      </c>
      <c r="X2" s="4">
        <v>46692</v>
      </c>
      <c r="Y2" s="4">
        <v>46722</v>
      </c>
    </row>
    <row r="3" spans="2:25" x14ac:dyDescent="0.3">
      <c r="B3" s="6" t="s">
        <v>20</v>
      </c>
      <c r="C3" s="6"/>
    </row>
    <row r="4" spans="2:25" x14ac:dyDescent="0.3">
      <c r="B4" s="6" t="s">
        <v>21</v>
      </c>
      <c r="C4" s="6"/>
    </row>
    <row r="5" spans="2:25" x14ac:dyDescent="0.3">
      <c r="B5" s="6" t="s">
        <v>22</v>
      </c>
      <c r="C5" s="6"/>
    </row>
    <row r="6" spans="2:25" x14ac:dyDescent="0.3">
      <c r="B6" s="6" t="s">
        <v>27</v>
      </c>
      <c r="C6" s="6"/>
    </row>
    <row r="7" spans="2:25" x14ac:dyDescent="0.3">
      <c r="B7" s="6" t="s">
        <v>28</v>
      </c>
      <c r="C7" s="6"/>
    </row>
    <row r="8" spans="2:25" x14ac:dyDescent="0.3">
      <c r="B8" s="6" t="s">
        <v>30</v>
      </c>
      <c r="C8" s="6"/>
    </row>
    <row r="9" spans="2:25" x14ac:dyDescent="0.3">
      <c r="B9" s="6" t="s">
        <v>29</v>
      </c>
      <c r="C9" s="6"/>
    </row>
    <row r="10" spans="2:25" x14ac:dyDescent="0.3">
      <c r="B10" s="6" t="s">
        <v>31</v>
      </c>
      <c r="C10" s="6"/>
    </row>
    <row r="13" spans="2:25" x14ac:dyDescent="0.3">
      <c r="B13" s="6" t="s">
        <v>33</v>
      </c>
      <c r="C13" s="4">
        <v>46054</v>
      </c>
      <c r="D13" s="4">
        <v>46082</v>
      </c>
      <c r="E13" s="4">
        <v>46113</v>
      </c>
      <c r="F13" s="4">
        <v>46143</v>
      </c>
      <c r="G13" s="4">
        <v>46174</v>
      </c>
      <c r="H13" s="4">
        <v>46204</v>
      </c>
      <c r="I13" s="4">
        <v>46235</v>
      </c>
      <c r="J13" s="4">
        <v>46266</v>
      </c>
      <c r="K13" s="4">
        <v>46296</v>
      </c>
      <c r="L13" s="4">
        <v>46327</v>
      </c>
      <c r="M13" s="4">
        <v>46357</v>
      </c>
      <c r="N13" s="4">
        <v>46388</v>
      </c>
      <c r="O13" s="4">
        <v>46419</v>
      </c>
      <c r="P13" s="4">
        <v>46447</v>
      </c>
      <c r="Q13" s="4">
        <v>46478</v>
      </c>
      <c r="R13" s="4">
        <v>46508</v>
      </c>
      <c r="S13" s="4">
        <v>46539</v>
      </c>
      <c r="T13" s="4">
        <v>46569</v>
      </c>
      <c r="U13" s="4">
        <v>46600</v>
      </c>
      <c r="V13" s="4">
        <v>46631</v>
      </c>
      <c r="W13" s="4">
        <v>46661</v>
      </c>
      <c r="X13" s="4">
        <v>46692</v>
      </c>
      <c r="Y13" s="4">
        <v>46722</v>
      </c>
    </row>
    <row r="14" spans="2:25" x14ac:dyDescent="0.3">
      <c r="B14" s="6" t="s">
        <v>20</v>
      </c>
      <c r="C14" s="6"/>
    </row>
    <row r="15" spans="2:25" x14ac:dyDescent="0.3">
      <c r="B15" s="6" t="s">
        <v>21</v>
      </c>
      <c r="C15" s="6"/>
    </row>
    <row r="16" spans="2:25" x14ac:dyDescent="0.3">
      <c r="B16" s="6" t="s">
        <v>22</v>
      </c>
      <c r="C16" s="6"/>
    </row>
    <row r="17" spans="2:3" x14ac:dyDescent="0.3">
      <c r="B17" s="6" t="s">
        <v>27</v>
      </c>
      <c r="C17" s="6"/>
    </row>
    <row r="18" spans="2:3" x14ac:dyDescent="0.3">
      <c r="B18" s="6" t="s">
        <v>28</v>
      </c>
      <c r="C18" s="6"/>
    </row>
    <row r="19" spans="2:3" x14ac:dyDescent="0.3">
      <c r="B19" s="6" t="s">
        <v>30</v>
      </c>
      <c r="C19" s="6"/>
    </row>
    <row r="20" spans="2:3" x14ac:dyDescent="0.3">
      <c r="B20" s="6" t="s">
        <v>29</v>
      </c>
      <c r="C20" s="6"/>
    </row>
    <row r="21" spans="2:3" x14ac:dyDescent="0.3">
      <c r="B21" s="6" t="s">
        <v>31</v>
      </c>
      <c r="C21" s="6"/>
    </row>
    <row r="25" spans="2:3" x14ac:dyDescent="0.3">
      <c r="B25" s="6" t="s">
        <v>34</v>
      </c>
      <c r="C2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4728-2479-488B-BB35-6FF193495D56}">
  <dimension ref="A1:AV63"/>
  <sheetViews>
    <sheetView tabSelected="1" zoomScale="64" workbookViewId="0">
      <selection activeCell="B63" sqref="B63"/>
    </sheetView>
  </sheetViews>
  <sheetFormatPr baseColWidth="10" defaultColWidth="11.44140625" defaultRowHeight="14.4" x14ac:dyDescent="0.3"/>
  <cols>
    <col min="1" max="1" width="8.88671875" style="34" customWidth="1"/>
    <col min="2" max="2" width="48.44140625" style="34" customWidth="1"/>
    <col min="3" max="7" width="12.77734375" style="35" customWidth="1"/>
    <col min="8" max="41" width="12.77734375" style="34" customWidth="1"/>
    <col min="42" max="42" width="13.21875" style="34" bestFit="1" customWidth="1"/>
    <col min="43" max="43" width="11.44140625" style="34"/>
    <col min="44" max="44" width="11.77734375" style="34" bestFit="1" customWidth="1"/>
    <col min="45" max="45" width="15.6640625" style="34" bestFit="1" customWidth="1"/>
    <col min="46" max="16384" width="11.44140625" style="34"/>
  </cols>
  <sheetData>
    <row r="1" spans="1:48" s="6" customFormat="1" ht="18.600000000000001" customHeight="1" x14ac:dyDescent="0.3">
      <c r="A1" s="8"/>
      <c r="B1" s="8"/>
      <c r="C1" s="9">
        <v>45931</v>
      </c>
      <c r="D1" s="9">
        <v>45962</v>
      </c>
      <c r="E1" s="9">
        <v>45992</v>
      </c>
      <c r="F1" s="9">
        <v>46023</v>
      </c>
      <c r="G1" s="9">
        <v>46054</v>
      </c>
      <c r="H1" s="9">
        <v>46082</v>
      </c>
      <c r="I1" s="9">
        <v>46113</v>
      </c>
      <c r="J1" s="9">
        <v>46143</v>
      </c>
      <c r="K1" s="9">
        <v>46174</v>
      </c>
      <c r="L1" s="9">
        <v>46204</v>
      </c>
      <c r="M1" s="9">
        <v>46235</v>
      </c>
      <c r="N1" s="9">
        <v>46266</v>
      </c>
      <c r="O1" s="9">
        <v>46296</v>
      </c>
      <c r="P1" s="9">
        <v>46327</v>
      </c>
      <c r="Q1" s="9">
        <v>46357</v>
      </c>
      <c r="R1" s="9">
        <v>46388</v>
      </c>
      <c r="S1" s="9">
        <v>46419</v>
      </c>
      <c r="T1" s="9">
        <v>46447</v>
      </c>
      <c r="U1" s="9">
        <v>46478</v>
      </c>
      <c r="V1" s="9">
        <v>46508</v>
      </c>
      <c r="W1" s="9">
        <v>46539</v>
      </c>
      <c r="X1" s="9">
        <v>46569</v>
      </c>
      <c r="Y1" s="9">
        <v>46600</v>
      </c>
      <c r="Z1" s="9">
        <v>46631</v>
      </c>
      <c r="AA1" s="9">
        <v>46661</v>
      </c>
      <c r="AB1" s="9">
        <v>46692</v>
      </c>
      <c r="AC1" s="9">
        <v>46722</v>
      </c>
      <c r="AD1" s="9">
        <v>46753</v>
      </c>
      <c r="AE1" s="9">
        <v>46784</v>
      </c>
      <c r="AF1" s="9">
        <v>46813</v>
      </c>
      <c r="AG1" s="9">
        <v>46844</v>
      </c>
      <c r="AH1" s="9">
        <v>46874</v>
      </c>
      <c r="AI1" s="9">
        <v>46905</v>
      </c>
      <c r="AJ1" s="9">
        <v>46935</v>
      </c>
      <c r="AK1" s="9">
        <v>46966</v>
      </c>
      <c r="AL1" s="9">
        <v>46997</v>
      </c>
      <c r="AM1" s="9">
        <v>47027</v>
      </c>
      <c r="AN1" s="9">
        <v>47058</v>
      </c>
      <c r="AO1" s="9">
        <v>47088</v>
      </c>
      <c r="AP1" s="8"/>
    </row>
    <row r="2" spans="1:48" s="13" customFormat="1" ht="24.6" customHeight="1" x14ac:dyDescent="0.3">
      <c r="A2" s="10"/>
      <c r="B2" s="10" t="s">
        <v>35</v>
      </c>
      <c r="C2" s="11">
        <f t="shared" ref="C2:AB2" si="0">C6</f>
        <v>0</v>
      </c>
      <c r="D2" s="11">
        <f t="shared" si="0"/>
        <v>0</v>
      </c>
      <c r="E2" s="11">
        <f t="shared" si="0"/>
        <v>0</v>
      </c>
      <c r="F2" s="11">
        <f t="shared" si="0"/>
        <v>0</v>
      </c>
      <c r="G2" s="11">
        <f t="shared" si="0"/>
        <v>0</v>
      </c>
      <c r="H2" s="11">
        <f t="shared" si="0"/>
        <v>0</v>
      </c>
      <c r="I2" s="11">
        <f t="shared" si="0"/>
        <v>0</v>
      </c>
      <c r="J2" s="11">
        <f t="shared" si="0"/>
        <v>0</v>
      </c>
      <c r="K2" s="11">
        <f t="shared" si="0"/>
        <v>0</v>
      </c>
      <c r="L2" s="11">
        <f t="shared" si="0"/>
        <v>0</v>
      </c>
      <c r="M2" s="11">
        <f t="shared" si="0"/>
        <v>0</v>
      </c>
      <c r="N2" s="11">
        <f t="shared" si="0"/>
        <v>0</v>
      </c>
      <c r="O2" s="11">
        <f t="shared" si="0"/>
        <v>0</v>
      </c>
      <c r="P2" s="11">
        <f t="shared" si="0"/>
        <v>0</v>
      </c>
      <c r="Q2" s="11">
        <f t="shared" si="0"/>
        <v>0</v>
      </c>
      <c r="R2" s="11">
        <f t="shared" si="0"/>
        <v>0</v>
      </c>
      <c r="S2" s="11">
        <f t="shared" si="0"/>
        <v>0</v>
      </c>
      <c r="T2" s="11">
        <f t="shared" si="0"/>
        <v>0</v>
      </c>
      <c r="U2" s="11">
        <f t="shared" si="0"/>
        <v>0</v>
      </c>
      <c r="V2" s="11">
        <f t="shared" si="0"/>
        <v>0</v>
      </c>
      <c r="W2" s="11">
        <f t="shared" si="0"/>
        <v>0</v>
      </c>
      <c r="X2" s="11">
        <f t="shared" si="0"/>
        <v>0</v>
      </c>
      <c r="Y2" s="11">
        <f t="shared" si="0"/>
        <v>0</v>
      </c>
      <c r="Z2" s="11">
        <f t="shared" si="0"/>
        <v>0</v>
      </c>
      <c r="AA2" s="11">
        <f t="shared" si="0"/>
        <v>0</v>
      </c>
      <c r="AB2" s="11">
        <f t="shared" si="0"/>
        <v>0</v>
      </c>
      <c r="AC2" s="11">
        <f>AC6</f>
        <v>0</v>
      </c>
      <c r="AD2" s="11">
        <f t="shared" ref="AD2:AO2" si="1">AD6</f>
        <v>0</v>
      </c>
      <c r="AE2" s="11">
        <f t="shared" si="1"/>
        <v>0</v>
      </c>
      <c r="AF2" s="11">
        <f t="shared" si="1"/>
        <v>0</v>
      </c>
      <c r="AG2" s="11">
        <f t="shared" si="1"/>
        <v>0</v>
      </c>
      <c r="AH2" s="11">
        <f t="shared" si="1"/>
        <v>0</v>
      </c>
      <c r="AI2" s="11">
        <f t="shared" si="1"/>
        <v>0</v>
      </c>
      <c r="AJ2" s="11">
        <f t="shared" si="1"/>
        <v>0</v>
      </c>
      <c r="AK2" s="11">
        <f t="shared" si="1"/>
        <v>0</v>
      </c>
      <c r="AL2" s="11">
        <f t="shared" si="1"/>
        <v>0</v>
      </c>
      <c r="AM2" s="11">
        <f t="shared" si="1"/>
        <v>0</v>
      </c>
      <c r="AN2" s="11">
        <f t="shared" si="1"/>
        <v>0</v>
      </c>
      <c r="AO2" s="11">
        <f t="shared" si="1"/>
        <v>0</v>
      </c>
      <c r="AP2" s="12">
        <f>SUM(D2:AO2)</f>
        <v>0</v>
      </c>
      <c r="AR2" s="14"/>
      <c r="AS2" s="14"/>
      <c r="AT2" s="14"/>
      <c r="AU2" s="14"/>
      <c r="AV2" s="14"/>
    </row>
    <row r="3" spans="1:48" s="13" customFormat="1" ht="24.6" customHeight="1" x14ac:dyDescent="0.3">
      <c r="A3" s="15"/>
      <c r="B3" s="15" t="s">
        <v>36</v>
      </c>
      <c r="C3" s="16" t="e">
        <f>C13</f>
        <v>#REF!</v>
      </c>
      <c r="D3" s="16" t="e">
        <f>D13</f>
        <v>#REF!</v>
      </c>
      <c r="E3" s="16" t="e">
        <f>E13</f>
        <v>#REF!</v>
      </c>
      <c r="F3" s="16">
        <f t="shared" ref="F3:AO3" si="2">F13</f>
        <v>-652.54999999999995</v>
      </c>
      <c r="G3" s="16">
        <f t="shared" si="2"/>
        <v>-823.81</v>
      </c>
      <c r="H3" s="17">
        <f>H13</f>
        <v>-316.07</v>
      </c>
      <c r="I3" s="16">
        <f t="shared" si="2"/>
        <v>-313.7</v>
      </c>
      <c r="J3" s="16">
        <f t="shared" si="2"/>
        <v>-313.7</v>
      </c>
      <c r="K3" s="16">
        <f t="shared" si="2"/>
        <v>-313.7</v>
      </c>
      <c r="L3" s="16">
        <f t="shared" si="2"/>
        <v>-313.7</v>
      </c>
      <c r="M3" s="16">
        <f t="shared" si="2"/>
        <v>-313.7</v>
      </c>
      <c r="N3" s="16">
        <f t="shared" si="2"/>
        <v>-313.7</v>
      </c>
      <c r="O3" s="16">
        <f t="shared" si="2"/>
        <v>-313.7</v>
      </c>
      <c r="P3" s="16">
        <f t="shared" si="2"/>
        <v>-313.7</v>
      </c>
      <c r="Q3" s="16">
        <f t="shared" si="2"/>
        <v>-313.7</v>
      </c>
      <c r="R3" s="16">
        <f t="shared" si="2"/>
        <v>-313.7</v>
      </c>
      <c r="S3" s="16">
        <f t="shared" si="2"/>
        <v>-313.7</v>
      </c>
      <c r="T3" s="16">
        <f t="shared" si="2"/>
        <v>-313.7</v>
      </c>
      <c r="U3" s="16">
        <f t="shared" si="2"/>
        <v>-313.7</v>
      </c>
      <c r="V3" s="16">
        <f t="shared" si="2"/>
        <v>-313.7</v>
      </c>
      <c r="W3" s="16">
        <f t="shared" si="2"/>
        <v>-313.7</v>
      </c>
      <c r="X3" s="16">
        <f t="shared" si="2"/>
        <v>-313.7</v>
      </c>
      <c r="Y3" s="16">
        <f t="shared" si="2"/>
        <v>-313.7</v>
      </c>
      <c r="Z3" s="16">
        <f t="shared" si="2"/>
        <v>-313.7</v>
      </c>
      <c r="AA3" s="16">
        <f t="shared" si="2"/>
        <v>-313.7</v>
      </c>
      <c r="AB3" s="16">
        <f t="shared" si="2"/>
        <v>-313.7</v>
      </c>
      <c r="AC3" s="16">
        <f t="shared" si="2"/>
        <v>-313.7</v>
      </c>
      <c r="AD3" s="16">
        <f t="shared" si="2"/>
        <v>-313.7</v>
      </c>
      <c r="AE3" s="16">
        <f t="shared" si="2"/>
        <v>-313.7</v>
      </c>
      <c r="AF3" s="16">
        <f t="shared" si="2"/>
        <v>-313.7</v>
      </c>
      <c r="AG3" s="16">
        <f t="shared" si="2"/>
        <v>-313.7</v>
      </c>
      <c r="AH3" s="16">
        <f t="shared" si="2"/>
        <v>-313.7</v>
      </c>
      <c r="AI3" s="16">
        <f t="shared" si="2"/>
        <v>-313.7</v>
      </c>
      <c r="AJ3" s="16">
        <f t="shared" si="2"/>
        <v>-313.7</v>
      </c>
      <c r="AK3" s="16">
        <f t="shared" si="2"/>
        <v>-313.7</v>
      </c>
      <c r="AL3" s="16">
        <f t="shared" si="2"/>
        <v>-313.7</v>
      </c>
      <c r="AM3" s="16">
        <f t="shared" si="2"/>
        <v>-313.7</v>
      </c>
      <c r="AN3" s="16">
        <f t="shared" si="2"/>
        <v>-313.7</v>
      </c>
      <c r="AO3" s="16">
        <f t="shared" si="2"/>
        <v>-313.7</v>
      </c>
      <c r="AP3" s="18" t="e">
        <f>SUM(D3:AO3)</f>
        <v>#REF!</v>
      </c>
      <c r="AR3" s="19"/>
    </row>
    <row r="4" spans="1:48" s="13" customFormat="1" ht="24.6" customHeight="1" x14ac:dyDescent="0.3">
      <c r="A4" s="20"/>
      <c r="B4" s="20" t="s">
        <v>37</v>
      </c>
      <c r="C4" s="21" t="e">
        <f>C2+C3</f>
        <v>#REF!</v>
      </c>
      <c r="D4" s="21" t="e">
        <f>D2+D3</f>
        <v>#REF!</v>
      </c>
      <c r="E4" s="21" t="e">
        <f t="shared" ref="E4:AO4" si="3">E2+E3</f>
        <v>#REF!</v>
      </c>
      <c r="F4" s="22">
        <f>F2+F3</f>
        <v>-652.54999999999995</v>
      </c>
      <c r="G4" s="21">
        <f t="shared" si="3"/>
        <v>-823.81</v>
      </c>
      <c r="H4" s="22">
        <f>H2+H3</f>
        <v>-316.07</v>
      </c>
      <c r="I4" s="21">
        <f t="shared" si="3"/>
        <v>-313.7</v>
      </c>
      <c r="J4" s="21">
        <f t="shared" si="3"/>
        <v>-313.7</v>
      </c>
      <c r="K4" s="21">
        <f t="shared" si="3"/>
        <v>-313.7</v>
      </c>
      <c r="L4" s="21">
        <f t="shared" si="3"/>
        <v>-313.7</v>
      </c>
      <c r="M4" s="21">
        <f t="shared" si="3"/>
        <v>-313.7</v>
      </c>
      <c r="N4" s="21">
        <f t="shared" si="3"/>
        <v>-313.7</v>
      </c>
      <c r="O4" s="21">
        <f t="shared" si="3"/>
        <v>-313.7</v>
      </c>
      <c r="P4" s="21">
        <f t="shared" si="3"/>
        <v>-313.7</v>
      </c>
      <c r="Q4" s="21">
        <f t="shared" si="3"/>
        <v>-313.7</v>
      </c>
      <c r="R4" s="21">
        <f t="shared" si="3"/>
        <v>-313.7</v>
      </c>
      <c r="S4" s="21">
        <f t="shared" si="3"/>
        <v>-313.7</v>
      </c>
      <c r="T4" s="21">
        <f t="shared" si="3"/>
        <v>-313.7</v>
      </c>
      <c r="U4" s="21">
        <f t="shared" si="3"/>
        <v>-313.7</v>
      </c>
      <c r="V4" s="21">
        <f t="shared" si="3"/>
        <v>-313.7</v>
      </c>
      <c r="W4" s="21">
        <f t="shared" si="3"/>
        <v>-313.7</v>
      </c>
      <c r="X4" s="21">
        <f t="shared" si="3"/>
        <v>-313.7</v>
      </c>
      <c r="Y4" s="21">
        <f t="shared" si="3"/>
        <v>-313.7</v>
      </c>
      <c r="Z4" s="21">
        <f t="shared" si="3"/>
        <v>-313.7</v>
      </c>
      <c r="AA4" s="21">
        <f t="shared" si="3"/>
        <v>-313.7</v>
      </c>
      <c r="AB4" s="21">
        <f t="shared" si="3"/>
        <v>-313.7</v>
      </c>
      <c r="AC4" s="21">
        <f t="shared" si="3"/>
        <v>-313.7</v>
      </c>
      <c r="AD4" s="21">
        <f t="shared" si="3"/>
        <v>-313.7</v>
      </c>
      <c r="AE4" s="21">
        <f t="shared" si="3"/>
        <v>-313.7</v>
      </c>
      <c r="AF4" s="21">
        <f t="shared" si="3"/>
        <v>-313.7</v>
      </c>
      <c r="AG4" s="21">
        <f t="shared" si="3"/>
        <v>-313.7</v>
      </c>
      <c r="AH4" s="21">
        <f t="shared" si="3"/>
        <v>-313.7</v>
      </c>
      <c r="AI4" s="21">
        <f t="shared" si="3"/>
        <v>-313.7</v>
      </c>
      <c r="AJ4" s="21">
        <f t="shared" si="3"/>
        <v>-313.7</v>
      </c>
      <c r="AK4" s="21">
        <f t="shared" si="3"/>
        <v>-313.7</v>
      </c>
      <c r="AL4" s="21">
        <f t="shared" si="3"/>
        <v>-313.7</v>
      </c>
      <c r="AM4" s="21">
        <f t="shared" si="3"/>
        <v>-313.7</v>
      </c>
      <c r="AN4" s="21">
        <f t="shared" si="3"/>
        <v>-313.7</v>
      </c>
      <c r="AO4" s="21">
        <f t="shared" si="3"/>
        <v>-313.7</v>
      </c>
      <c r="AP4" s="23" t="e">
        <f>SUM(D4:AO4)</f>
        <v>#REF!</v>
      </c>
      <c r="AR4" s="24"/>
    </row>
    <row r="5" spans="1:48" s="25" customFormat="1" ht="15" customHeight="1" x14ac:dyDescent="0.3"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R5" s="27"/>
    </row>
    <row r="6" spans="1:48" s="32" customFormat="1" ht="15" customHeight="1" x14ac:dyDescent="0.3">
      <c r="A6" s="28"/>
      <c r="B6" s="29" t="s">
        <v>38</v>
      </c>
      <c r="C6" s="30">
        <f>SUM(C11:C11)</f>
        <v>0</v>
      </c>
      <c r="D6" s="30">
        <f>SUM(D11:D11)</f>
        <v>0</v>
      </c>
      <c r="E6" s="30">
        <f>SUM(E11:E11)</f>
        <v>0</v>
      </c>
      <c r="F6" s="30">
        <f>SUM(F11:F11)</f>
        <v>0</v>
      </c>
      <c r="G6" s="30">
        <f>SUM(G11:G11)</f>
        <v>0</v>
      </c>
      <c r="H6" s="30">
        <f>SUM(H11:H11)</f>
        <v>0</v>
      </c>
      <c r="I6" s="30">
        <f>SUM(I11:I11)</f>
        <v>0</v>
      </c>
      <c r="J6" s="30">
        <f>SUM(J11:J11)</f>
        <v>0</v>
      </c>
      <c r="K6" s="30">
        <f>SUM(K11:K11)</f>
        <v>0</v>
      </c>
      <c r="L6" s="30">
        <f>SUM(L11:L11)</f>
        <v>0</v>
      </c>
      <c r="M6" s="30">
        <f>SUM(M11:M11)</f>
        <v>0</v>
      </c>
      <c r="N6" s="30">
        <f>SUM(N11:N11)</f>
        <v>0</v>
      </c>
      <c r="O6" s="30">
        <f>SUM(O11:O11)</f>
        <v>0</v>
      </c>
      <c r="P6" s="30">
        <f>SUM(P11:P11)</f>
        <v>0</v>
      </c>
      <c r="Q6" s="30">
        <f>SUM(Q11:Q11)</f>
        <v>0</v>
      </c>
      <c r="R6" s="30">
        <f>SUM(R11:R11)</f>
        <v>0</v>
      </c>
      <c r="S6" s="30">
        <f>SUM(S11:S11)</f>
        <v>0</v>
      </c>
      <c r="T6" s="30">
        <f>SUM(T11:T11)</f>
        <v>0</v>
      </c>
      <c r="U6" s="30">
        <f>SUM(U11:U11)</f>
        <v>0</v>
      </c>
      <c r="V6" s="30">
        <f>SUM(V11:V11)</f>
        <v>0</v>
      </c>
      <c r="W6" s="30">
        <f>SUM(W11:W11)</f>
        <v>0</v>
      </c>
      <c r="X6" s="30">
        <f>SUM(X11:X11)</f>
        <v>0</v>
      </c>
      <c r="Y6" s="30">
        <f>SUM(Y11:Y11)</f>
        <v>0</v>
      </c>
      <c r="Z6" s="30">
        <f>SUM(Z11:Z11)</f>
        <v>0</v>
      </c>
      <c r="AA6" s="30">
        <f>SUM(AA11:AA11)</f>
        <v>0</v>
      </c>
      <c r="AB6" s="30">
        <f>SUM(AB11:AB11)</f>
        <v>0</v>
      </c>
      <c r="AC6" s="30">
        <f>SUM(AC11:AC11)</f>
        <v>0</v>
      </c>
      <c r="AD6" s="30">
        <f>SUM(AD11:AD11)</f>
        <v>0</v>
      </c>
      <c r="AE6" s="30">
        <f>SUM(AE11:AE11)</f>
        <v>0</v>
      </c>
      <c r="AF6" s="30">
        <f>SUM(AF11:AF11)</f>
        <v>0</v>
      </c>
      <c r="AG6" s="30">
        <f>SUM(AG11:AG11)</f>
        <v>0</v>
      </c>
      <c r="AH6" s="30">
        <f>SUM(AH11:AH11)</f>
        <v>0</v>
      </c>
      <c r="AI6" s="30">
        <f>SUM(AI11:AI11)</f>
        <v>0</v>
      </c>
      <c r="AJ6" s="30">
        <f>SUM(AJ11:AJ11)</f>
        <v>0</v>
      </c>
      <c r="AK6" s="30">
        <f>SUM(AK11:AK11)</f>
        <v>0</v>
      </c>
      <c r="AL6" s="30">
        <f>SUM(AL11:AL11)</f>
        <v>0</v>
      </c>
      <c r="AM6" s="30">
        <f>SUM(AM11:AM11)</f>
        <v>0</v>
      </c>
      <c r="AN6" s="30">
        <f>SUM(AN11:AN11)</f>
        <v>0</v>
      </c>
      <c r="AO6" s="30">
        <f>SUM(AO11:AO11)</f>
        <v>0</v>
      </c>
      <c r="AP6" s="31">
        <f>SUM(D6:AO6)</f>
        <v>0</v>
      </c>
      <c r="AR6" s="33"/>
    </row>
    <row r="7" spans="1:48" s="25" customFormat="1" ht="15" customHeight="1" x14ac:dyDescent="0.3">
      <c r="B7" s="34" t="s">
        <v>84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6000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5">
        <v>0</v>
      </c>
      <c r="AO7" s="35">
        <v>0</v>
      </c>
    </row>
    <row r="8" spans="1:48" s="25" customFormat="1" ht="15" customHeight="1" x14ac:dyDescent="0.3">
      <c r="B8" s="34" t="s">
        <v>85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6000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0</v>
      </c>
    </row>
    <row r="9" spans="1:48" s="25" customFormat="1" ht="15" customHeight="1" x14ac:dyDescent="0.3">
      <c r="B9" s="34" t="s">
        <v>86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6000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</row>
    <row r="10" spans="1:48" s="25" customFormat="1" ht="15" customHeight="1" x14ac:dyDescent="0.3">
      <c r="B10" s="34" t="s">
        <v>87</v>
      </c>
      <c r="C10" s="35">
        <v>0</v>
      </c>
      <c r="D10" s="35">
        <v>0</v>
      </c>
      <c r="E10" s="35">
        <v>0</v>
      </c>
      <c r="F10" s="35">
        <v>0</v>
      </c>
      <c r="G10" s="35">
        <v>0</v>
      </c>
      <c r="H10" s="35">
        <v>6000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</row>
    <row r="11" spans="1:48" s="25" customFormat="1" ht="15" customHeight="1" x14ac:dyDescent="0.3">
      <c r="B11" s="34" t="s">
        <v>83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0</v>
      </c>
      <c r="AK11" s="35">
        <v>0</v>
      </c>
      <c r="AL11" s="35">
        <v>0</v>
      </c>
      <c r="AM11" s="35">
        <v>0</v>
      </c>
      <c r="AN11" s="35">
        <v>0</v>
      </c>
      <c r="AO11" s="35">
        <v>0</v>
      </c>
    </row>
    <row r="12" spans="1:48" s="25" customFormat="1" ht="15" customHeight="1" x14ac:dyDescent="0.3"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</row>
    <row r="13" spans="1:48" s="32" customFormat="1" ht="15" customHeight="1" x14ac:dyDescent="0.3">
      <c r="A13" s="28"/>
      <c r="B13" s="37" t="s">
        <v>39</v>
      </c>
      <c r="C13" s="38" t="e">
        <f t="shared" ref="C13:AO13" si="4">SUM(C40:C56)</f>
        <v>#REF!</v>
      </c>
      <c r="D13" s="38" t="e">
        <f t="shared" si="4"/>
        <v>#REF!</v>
      </c>
      <c r="E13" s="38" t="e">
        <f t="shared" si="4"/>
        <v>#REF!</v>
      </c>
      <c r="F13" s="38">
        <f t="shared" si="4"/>
        <v>-652.54999999999995</v>
      </c>
      <c r="G13" s="38">
        <f t="shared" si="4"/>
        <v>-823.81</v>
      </c>
      <c r="H13" s="38">
        <f t="shared" si="4"/>
        <v>-316.07</v>
      </c>
      <c r="I13" s="38">
        <f t="shared" si="4"/>
        <v>-313.7</v>
      </c>
      <c r="J13" s="38">
        <f t="shared" si="4"/>
        <v>-313.7</v>
      </c>
      <c r="K13" s="38">
        <f t="shared" si="4"/>
        <v>-313.7</v>
      </c>
      <c r="L13" s="38">
        <f t="shared" si="4"/>
        <v>-313.7</v>
      </c>
      <c r="M13" s="38">
        <f t="shared" si="4"/>
        <v>-313.7</v>
      </c>
      <c r="N13" s="38">
        <f t="shared" si="4"/>
        <v>-313.7</v>
      </c>
      <c r="O13" s="38">
        <f t="shared" si="4"/>
        <v>-313.7</v>
      </c>
      <c r="P13" s="38">
        <f t="shared" si="4"/>
        <v>-313.7</v>
      </c>
      <c r="Q13" s="38">
        <f t="shared" si="4"/>
        <v>-313.7</v>
      </c>
      <c r="R13" s="38">
        <f t="shared" si="4"/>
        <v>-313.7</v>
      </c>
      <c r="S13" s="38">
        <f t="shared" si="4"/>
        <v>-313.7</v>
      </c>
      <c r="T13" s="38">
        <f t="shared" si="4"/>
        <v>-313.7</v>
      </c>
      <c r="U13" s="38">
        <f t="shared" si="4"/>
        <v>-313.7</v>
      </c>
      <c r="V13" s="38">
        <f t="shared" si="4"/>
        <v>-313.7</v>
      </c>
      <c r="W13" s="38">
        <f t="shared" si="4"/>
        <v>-313.7</v>
      </c>
      <c r="X13" s="38">
        <f t="shared" si="4"/>
        <v>-313.7</v>
      </c>
      <c r="Y13" s="38">
        <f t="shared" si="4"/>
        <v>-313.7</v>
      </c>
      <c r="Z13" s="38">
        <f t="shared" si="4"/>
        <v>-313.7</v>
      </c>
      <c r="AA13" s="38">
        <f t="shared" si="4"/>
        <v>-313.7</v>
      </c>
      <c r="AB13" s="38">
        <f t="shared" si="4"/>
        <v>-313.7</v>
      </c>
      <c r="AC13" s="38">
        <f t="shared" si="4"/>
        <v>-313.7</v>
      </c>
      <c r="AD13" s="38">
        <f t="shared" si="4"/>
        <v>-313.7</v>
      </c>
      <c r="AE13" s="38">
        <f t="shared" si="4"/>
        <v>-313.7</v>
      </c>
      <c r="AF13" s="38">
        <f t="shared" si="4"/>
        <v>-313.7</v>
      </c>
      <c r="AG13" s="38">
        <f t="shared" si="4"/>
        <v>-313.7</v>
      </c>
      <c r="AH13" s="38">
        <f t="shared" si="4"/>
        <v>-313.7</v>
      </c>
      <c r="AI13" s="38">
        <f t="shared" si="4"/>
        <v>-313.7</v>
      </c>
      <c r="AJ13" s="38">
        <f t="shared" si="4"/>
        <v>-313.7</v>
      </c>
      <c r="AK13" s="38">
        <f t="shared" si="4"/>
        <v>-313.7</v>
      </c>
      <c r="AL13" s="38">
        <f t="shared" si="4"/>
        <v>-313.7</v>
      </c>
      <c r="AM13" s="38">
        <f t="shared" si="4"/>
        <v>-313.7</v>
      </c>
      <c r="AN13" s="38">
        <f t="shared" si="4"/>
        <v>-313.7</v>
      </c>
      <c r="AO13" s="38">
        <f t="shared" si="4"/>
        <v>-313.7</v>
      </c>
      <c r="AP13" s="39" t="e">
        <f>SUM(D13:AO13)</f>
        <v>#REF!</v>
      </c>
    </row>
    <row r="14" spans="1:48" ht="15" customHeight="1" x14ac:dyDescent="0.3">
      <c r="B14" s="40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35"/>
    </row>
    <row r="15" spans="1:48" ht="15" customHeight="1" x14ac:dyDescent="0.3">
      <c r="B15" s="40" t="s">
        <v>40</v>
      </c>
      <c r="E15" s="35">
        <v>0</v>
      </c>
      <c r="F15" s="35">
        <v>0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35"/>
    </row>
    <row r="16" spans="1:48" ht="15" customHeight="1" x14ac:dyDescent="0.3">
      <c r="B16" s="40" t="s">
        <v>76</v>
      </c>
      <c r="D16" s="41">
        <v>20000</v>
      </c>
      <c r="E16" s="41">
        <v>-326.76</v>
      </c>
      <c r="F16" s="41">
        <v>-326.76</v>
      </c>
      <c r="G16" s="41">
        <v>-326.76</v>
      </c>
      <c r="H16" s="41">
        <v>-326.76</v>
      </c>
      <c r="I16" s="41">
        <v>-326.76</v>
      </c>
      <c r="J16" s="41">
        <v>-326.76</v>
      </c>
      <c r="K16" s="41">
        <v>-326.76</v>
      </c>
      <c r="L16" s="41">
        <v>-326.76</v>
      </c>
      <c r="M16" s="41">
        <v>-326.76</v>
      </c>
      <c r="N16" s="41">
        <v>-326.76</v>
      </c>
      <c r="O16" s="41">
        <v>-326.76</v>
      </c>
      <c r="P16" s="41">
        <v>-326.76</v>
      </c>
      <c r="Q16" s="41">
        <v>-326.76</v>
      </c>
      <c r="R16" s="41">
        <v>-326.76</v>
      </c>
      <c r="S16" s="41">
        <v>-326.76</v>
      </c>
      <c r="T16" s="41">
        <v>-326.76</v>
      </c>
      <c r="U16" s="41">
        <v>-326.76</v>
      </c>
      <c r="V16" s="41">
        <v>-326.76</v>
      </c>
      <c r="W16" s="41">
        <v>-326.76</v>
      </c>
      <c r="X16" s="41">
        <v>-326.76</v>
      </c>
      <c r="Y16" s="41">
        <v>-326.76</v>
      </c>
      <c r="Z16" s="41">
        <v>-326.76</v>
      </c>
      <c r="AA16" s="41">
        <v>-326.76</v>
      </c>
      <c r="AB16" s="41">
        <v>-326.76</v>
      </c>
      <c r="AC16" s="41">
        <v>-326.76</v>
      </c>
      <c r="AD16" s="41">
        <v>-326.76</v>
      </c>
      <c r="AE16" s="41">
        <v>-326.76</v>
      </c>
      <c r="AF16" s="41">
        <v>-326.76</v>
      </c>
      <c r="AG16" s="41">
        <v>-326.76</v>
      </c>
      <c r="AH16" s="41">
        <v>-326.76</v>
      </c>
      <c r="AI16" s="41">
        <v>-326.76</v>
      </c>
      <c r="AJ16" s="41">
        <v>-326.76</v>
      </c>
      <c r="AK16" s="41">
        <v>-326.76</v>
      </c>
      <c r="AL16" s="41">
        <v>-326.76</v>
      </c>
      <c r="AM16" s="41">
        <v>-326.76</v>
      </c>
      <c r="AN16" s="41">
        <v>-326.76</v>
      </c>
      <c r="AO16" s="41">
        <v>-326.76</v>
      </c>
      <c r="AP16" s="35"/>
    </row>
    <row r="17" spans="2:42" ht="15" customHeight="1" x14ac:dyDescent="0.3">
      <c r="B17" s="40" t="s">
        <v>77</v>
      </c>
      <c r="D17" s="41">
        <v>10000</v>
      </c>
      <c r="E17" s="41">
        <v>-163.38</v>
      </c>
      <c r="F17" s="41">
        <v>-163.38</v>
      </c>
      <c r="G17" s="41">
        <v>-163.38</v>
      </c>
      <c r="H17" s="41">
        <v>-163.38</v>
      </c>
      <c r="I17" s="41">
        <v>-163.38</v>
      </c>
      <c r="J17" s="41">
        <v>-163.38</v>
      </c>
      <c r="K17" s="41">
        <v>-163.38</v>
      </c>
      <c r="L17" s="41">
        <v>-163.38</v>
      </c>
      <c r="M17" s="41">
        <v>-163.38</v>
      </c>
      <c r="N17" s="41">
        <v>-163.38</v>
      </c>
      <c r="O17" s="41">
        <v>-163.38</v>
      </c>
      <c r="P17" s="41">
        <v>-163.38</v>
      </c>
      <c r="Q17" s="41">
        <v>-163.38</v>
      </c>
      <c r="R17" s="41">
        <v>-163.38</v>
      </c>
      <c r="S17" s="41">
        <v>-163.38</v>
      </c>
      <c r="T17" s="41">
        <v>-163.38</v>
      </c>
      <c r="U17" s="41">
        <v>-163.38</v>
      </c>
      <c r="V17" s="41">
        <v>-163.38</v>
      </c>
      <c r="W17" s="41">
        <v>-163.38</v>
      </c>
      <c r="X17" s="41">
        <v>-163.38</v>
      </c>
      <c r="Y17" s="41">
        <v>-163.38</v>
      </c>
      <c r="Z17" s="41">
        <v>-163.38</v>
      </c>
      <c r="AA17" s="41">
        <v>-163.38</v>
      </c>
      <c r="AB17" s="41">
        <v>-163.38</v>
      </c>
      <c r="AC17" s="41">
        <v>-163.38</v>
      </c>
      <c r="AD17" s="41">
        <v>-163.38</v>
      </c>
      <c r="AE17" s="41">
        <v>-163.38</v>
      </c>
      <c r="AF17" s="41">
        <v>-163.38</v>
      </c>
      <c r="AG17" s="41">
        <v>-163.38</v>
      </c>
      <c r="AH17" s="41">
        <v>-163.38</v>
      </c>
      <c r="AI17" s="41">
        <v>-163.38</v>
      </c>
      <c r="AJ17" s="41">
        <v>-163.38</v>
      </c>
      <c r="AK17" s="41">
        <v>-163.38</v>
      </c>
      <c r="AL17" s="41">
        <v>-163.38</v>
      </c>
      <c r="AM17" s="41">
        <v>-163.38</v>
      </c>
      <c r="AN17" s="41">
        <v>-163.38</v>
      </c>
      <c r="AO17" s="41">
        <v>-163.38</v>
      </c>
      <c r="AP17" s="35"/>
    </row>
    <row r="18" spans="2:42" ht="15" customHeight="1" x14ac:dyDescent="0.3">
      <c r="B18" s="40" t="s">
        <v>78</v>
      </c>
      <c r="D18" s="41">
        <v>10000</v>
      </c>
      <c r="E18" s="41">
        <v>-163.38</v>
      </c>
      <c r="F18" s="41">
        <v>-163.38</v>
      </c>
      <c r="G18" s="41">
        <v>-163.38</v>
      </c>
      <c r="H18" s="41">
        <v>-163.38</v>
      </c>
      <c r="I18" s="41">
        <v>-163.38</v>
      </c>
      <c r="J18" s="41">
        <v>-163.38</v>
      </c>
      <c r="K18" s="41">
        <v>-163.38</v>
      </c>
      <c r="L18" s="41">
        <v>-163.38</v>
      </c>
      <c r="M18" s="41">
        <v>-163.38</v>
      </c>
      <c r="N18" s="41">
        <v>-163.38</v>
      </c>
      <c r="O18" s="41">
        <v>-163.38</v>
      </c>
      <c r="P18" s="41">
        <v>-163.38</v>
      </c>
      <c r="Q18" s="41">
        <v>-163.38</v>
      </c>
      <c r="R18" s="41">
        <v>-163.38</v>
      </c>
      <c r="S18" s="41">
        <v>-163.38</v>
      </c>
      <c r="T18" s="41">
        <v>-163.38</v>
      </c>
      <c r="U18" s="41">
        <v>-163.38</v>
      </c>
      <c r="V18" s="41">
        <v>-163.38</v>
      </c>
      <c r="W18" s="41">
        <v>-163.38</v>
      </c>
      <c r="X18" s="41">
        <v>-163.38</v>
      </c>
      <c r="Y18" s="41">
        <v>-163.38</v>
      </c>
      <c r="Z18" s="41">
        <v>-163.38</v>
      </c>
      <c r="AA18" s="41">
        <v>-163.38</v>
      </c>
      <c r="AB18" s="41">
        <v>-163.38</v>
      </c>
      <c r="AC18" s="41">
        <v>-163.38</v>
      </c>
      <c r="AD18" s="41">
        <v>-163.38</v>
      </c>
      <c r="AE18" s="41">
        <v>-163.38</v>
      </c>
      <c r="AF18" s="41">
        <v>-163.38</v>
      </c>
      <c r="AG18" s="41">
        <v>-163.38</v>
      </c>
      <c r="AH18" s="41">
        <v>-163.38</v>
      </c>
      <c r="AI18" s="41">
        <v>-163.38</v>
      </c>
      <c r="AJ18" s="41">
        <v>-163.38</v>
      </c>
      <c r="AK18" s="41">
        <v>-163.38</v>
      </c>
      <c r="AL18" s="41">
        <v>-163.38</v>
      </c>
      <c r="AM18" s="41">
        <v>-163.38</v>
      </c>
      <c r="AN18" s="41">
        <v>-163.38</v>
      </c>
      <c r="AO18" s="41">
        <v>-163.38</v>
      </c>
      <c r="AP18" s="35"/>
    </row>
    <row r="19" spans="2:42" ht="15" customHeight="1" x14ac:dyDescent="0.3">
      <c r="B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35"/>
    </row>
    <row r="20" spans="2:42" ht="15" customHeight="1" x14ac:dyDescent="0.3">
      <c r="B20" s="40" t="s">
        <v>41</v>
      </c>
      <c r="C20" s="42">
        <f t="shared" ref="C20:AP20" si="5">SUM(C21:C36)</f>
        <v>0</v>
      </c>
      <c r="D20" s="42">
        <f t="shared" si="5"/>
        <v>0</v>
      </c>
      <c r="E20" s="42">
        <f t="shared" si="5"/>
        <v>-10754</v>
      </c>
      <c r="F20" s="42">
        <f t="shared" si="5"/>
        <v>-12098.24</v>
      </c>
      <c r="G20" s="42">
        <f t="shared" si="5"/>
        <v>-35667.829999999994</v>
      </c>
      <c r="H20" s="42">
        <f t="shared" si="5"/>
        <v>-4606.46</v>
      </c>
      <c r="I20" s="42">
        <f t="shared" si="5"/>
        <v>-408</v>
      </c>
      <c r="J20" s="42">
        <f t="shared" si="5"/>
        <v>-408</v>
      </c>
      <c r="K20" s="42">
        <f t="shared" si="5"/>
        <v>-408</v>
      </c>
      <c r="L20" s="42">
        <f t="shared" si="5"/>
        <v>-408</v>
      </c>
      <c r="M20" s="42">
        <f t="shared" si="5"/>
        <v>-408</v>
      </c>
      <c r="N20" s="42">
        <f t="shared" si="5"/>
        <v>-408</v>
      </c>
      <c r="O20" s="42">
        <f t="shared" si="5"/>
        <v>-408</v>
      </c>
      <c r="P20" s="42">
        <f t="shared" si="5"/>
        <v>-408</v>
      </c>
      <c r="Q20" s="42">
        <f t="shared" si="5"/>
        <v>-408</v>
      </c>
      <c r="R20" s="42">
        <f t="shared" si="5"/>
        <v>0</v>
      </c>
      <c r="S20" s="42">
        <f t="shared" si="5"/>
        <v>0</v>
      </c>
      <c r="T20" s="42">
        <f t="shared" si="5"/>
        <v>0</v>
      </c>
      <c r="U20" s="42">
        <f t="shared" si="5"/>
        <v>0</v>
      </c>
      <c r="V20" s="42">
        <f t="shared" si="5"/>
        <v>0</v>
      </c>
      <c r="W20" s="42">
        <f t="shared" si="5"/>
        <v>0</v>
      </c>
      <c r="X20" s="42">
        <f t="shared" si="5"/>
        <v>0</v>
      </c>
      <c r="Y20" s="42">
        <f t="shared" si="5"/>
        <v>0</v>
      </c>
      <c r="Z20" s="42">
        <f t="shared" si="5"/>
        <v>0</v>
      </c>
      <c r="AA20" s="42">
        <f t="shared" si="5"/>
        <v>0</v>
      </c>
      <c r="AB20" s="42">
        <f t="shared" si="5"/>
        <v>0</v>
      </c>
      <c r="AC20" s="42">
        <f t="shared" si="5"/>
        <v>0</v>
      </c>
      <c r="AD20" s="42">
        <f t="shared" si="5"/>
        <v>0</v>
      </c>
      <c r="AE20" s="42">
        <f t="shared" si="5"/>
        <v>0</v>
      </c>
      <c r="AF20" s="42">
        <f t="shared" si="5"/>
        <v>0</v>
      </c>
      <c r="AG20" s="42">
        <f t="shared" si="5"/>
        <v>0</v>
      </c>
      <c r="AH20" s="42">
        <f t="shared" si="5"/>
        <v>0</v>
      </c>
      <c r="AI20" s="42">
        <f t="shared" si="5"/>
        <v>0</v>
      </c>
      <c r="AJ20" s="42">
        <f t="shared" si="5"/>
        <v>0</v>
      </c>
      <c r="AK20" s="42">
        <f t="shared" si="5"/>
        <v>0</v>
      </c>
      <c r="AL20" s="42">
        <f t="shared" si="5"/>
        <v>0</v>
      </c>
      <c r="AM20" s="42">
        <f t="shared" si="5"/>
        <v>0</v>
      </c>
      <c r="AN20" s="42">
        <f t="shared" si="5"/>
        <v>0</v>
      </c>
      <c r="AO20" s="42">
        <f t="shared" si="5"/>
        <v>0</v>
      </c>
      <c r="AP20" s="42">
        <f t="shared" si="5"/>
        <v>0</v>
      </c>
    </row>
    <row r="21" spans="2:42" ht="15" customHeight="1" x14ac:dyDescent="0.3">
      <c r="B21" s="5" t="s">
        <v>42</v>
      </c>
      <c r="C21" s="41"/>
      <c r="D21" s="41"/>
      <c r="E21" s="41"/>
      <c r="F21" s="41">
        <v>-9680</v>
      </c>
      <c r="G21" s="41">
        <v>-6050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35"/>
    </row>
    <row r="22" spans="2:42" ht="15" customHeight="1" x14ac:dyDescent="0.3">
      <c r="B22" s="5" t="s">
        <v>43</v>
      </c>
      <c r="C22" s="41"/>
      <c r="D22" s="41"/>
      <c r="E22" s="41">
        <f>-3000-5000</f>
        <v>-8000</v>
      </c>
      <c r="F22" s="41"/>
      <c r="G22" s="41">
        <v>-8000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35"/>
    </row>
    <row r="23" spans="2:42" ht="15" customHeight="1" x14ac:dyDescent="0.3">
      <c r="B23" s="43" t="s">
        <v>44</v>
      </c>
      <c r="C23" s="41"/>
      <c r="D23" s="41"/>
      <c r="E23" s="41">
        <v>-2754</v>
      </c>
      <c r="F23" s="41">
        <v>-879.8</v>
      </c>
      <c r="G23" s="41"/>
      <c r="H23" s="41">
        <v>-878.8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35"/>
    </row>
    <row r="24" spans="2:42" ht="15" customHeight="1" x14ac:dyDescent="0.3">
      <c r="B24" s="43" t="s">
        <v>45</v>
      </c>
      <c r="C24" s="41"/>
      <c r="D24" s="41"/>
      <c r="E24" s="41"/>
      <c r="F24" s="41"/>
      <c r="G24" s="41"/>
      <c r="H24" s="41">
        <v>-512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35"/>
    </row>
    <row r="25" spans="2:42" ht="15" customHeight="1" x14ac:dyDescent="0.3">
      <c r="B25" s="43" t="s">
        <v>46</v>
      </c>
      <c r="C25" s="41"/>
      <c r="D25" s="41"/>
      <c r="E25" s="41"/>
      <c r="F25" s="41"/>
      <c r="G25" s="41">
        <v>-1300.75</v>
      </c>
      <c r="H25" s="41">
        <v>-1300.75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35"/>
    </row>
    <row r="26" spans="2:42" ht="15" customHeight="1" x14ac:dyDescent="0.3">
      <c r="B26" s="43" t="s">
        <v>88</v>
      </c>
      <c r="C26" s="41"/>
      <c r="D26" s="41"/>
      <c r="E26" s="41"/>
      <c r="F26" s="41"/>
      <c r="G26" s="41">
        <v>-17966.810000000001</v>
      </c>
      <c r="H26" s="41">
        <v>-1032.1300000000001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35"/>
    </row>
    <row r="27" spans="2:42" ht="15" customHeight="1" x14ac:dyDescent="0.3">
      <c r="B27" s="43" t="s">
        <v>47</v>
      </c>
      <c r="C27" s="41"/>
      <c r="D27" s="41"/>
      <c r="E27" s="41"/>
      <c r="F27" s="41"/>
      <c r="G27" s="41">
        <f>-440.64-949-154</f>
        <v>-1543.6399999999999</v>
      </c>
      <c r="H27" s="41">
        <v>-409.79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35"/>
    </row>
    <row r="28" spans="2:42" ht="15" customHeight="1" x14ac:dyDescent="0.3">
      <c r="B28" s="43" t="s">
        <v>48</v>
      </c>
      <c r="C28" s="41"/>
      <c r="D28" s="41"/>
      <c r="E28" s="41"/>
      <c r="F28" s="41">
        <v>-120</v>
      </c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35"/>
    </row>
    <row r="29" spans="2:42" ht="15" customHeight="1" x14ac:dyDescent="0.3">
      <c r="B29" s="43" t="s">
        <v>49</v>
      </c>
      <c r="C29" s="41"/>
      <c r="D29" s="41"/>
      <c r="E29" s="41"/>
      <c r="F29" s="41">
        <v>-180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35"/>
    </row>
    <row r="30" spans="2:42" x14ac:dyDescent="0.3">
      <c r="B30" s="34" t="s">
        <v>50</v>
      </c>
      <c r="C30" s="41">
        <v>0</v>
      </c>
      <c r="D30" s="41">
        <v>0</v>
      </c>
      <c r="E30" s="41">
        <v>0</v>
      </c>
      <c r="F30" s="41">
        <v>-1200</v>
      </c>
      <c r="G30" s="41">
        <v>-408</v>
      </c>
      <c r="H30" s="41">
        <v>-408</v>
      </c>
      <c r="I30" s="41">
        <v>-408</v>
      </c>
      <c r="J30" s="41">
        <v>-408</v>
      </c>
      <c r="K30" s="41">
        <v>-408</v>
      </c>
      <c r="L30" s="41">
        <v>-408</v>
      </c>
      <c r="M30" s="41">
        <v>-408</v>
      </c>
      <c r="N30" s="41">
        <v>-408</v>
      </c>
      <c r="O30" s="41">
        <v>-408</v>
      </c>
      <c r="P30" s="41">
        <v>-408</v>
      </c>
      <c r="Q30" s="41">
        <v>-408</v>
      </c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</row>
    <row r="31" spans="2:42" x14ac:dyDescent="0.3">
      <c r="B31" s="34" t="s">
        <v>51</v>
      </c>
      <c r="C31" s="41">
        <v>0</v>
      </c>
      <c r="D31" s="41">
        <v>0</v>
      </c>
      <c r="E31" s="41">
        <v>0</v>
      </c>
      <c r="F31" s="41">
        <v>-31.67</v>
      </c>
      <c r="G31" s="41">
        <v>-33.65</v>
      </c>
      <c r="H31" s="41">
        <v>-37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</row>
    <row r="32" spans="2:42" x14ac:dyDescent="0.3">
      <c r="B32" s="34" t="s">
        <v>52</v>
      </c>
      <c r="C32" s="41">
        <v>0</v>
      </c>
      <c r="D32" s="41">
        <v>0</v>
      </c>
      <c r="E32" s="41">
        <v>0</v>
      </c>
      <c r="F32" s="41">
        <v>0</v>
      </c>
      <c r="G32" s="41">
        <v>-79.64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</row>
    <row r="33" spans="2:42" x14ac:dyDescent="0.3">
      <c r="B33" s="5" t="s">
        <v>53</v>
      </c>
      <c r="C33" s="41">
        <v>0</v>
      </c>
      <c r="D33" s="41">
        <v>0</v>
      </c>
      <c r="E33" s="41">
        <v>0</v>
      </c>
      <c r="F33" s="41">
        <v>0</v>
      </c>
      <c r="G33" s="41">
        <v>-278.33999999999997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</row>
    <row r="34" spans="2:42" x14ac:dyDescent="0.3">
      <c r="B34" s="5" t="s">
        <v>54</v>
      </c>
      <c r="C34" s="41"/>
      <c r="D34" s="41"/>
      <c r="E34" s="41"/>
      <c r="F34" s="41"/>
      <c r="G34" s="41"/>
      <c r="H34" s="41">
        <v>-20.99</v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</row>
    <row r="35" spans="2:42" x14ac:dyDescent="0.3">
      <c r="B35" s="5" t="s">
        <v>55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</row>
    <row r="36" spans="2:42" x14ac:dyDescent="0.3">
      <c r="B36" s="5" t="s">
        <v>56</v>
      </c>
      <c r="C36" s="41"/>
      <c r="D36" s="41"/>
      <c r="E36" s="41"/>
      <c r="F36" s="41">
        <v>-6.77</v>
      </c>
      <c r="G36" s="41">
        <v>-7</v>
      </c>
      <c r="H36" s="41">
        <v>-7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</row>
    <row r="37" spans="2:42" x14ac:dyDescent="0.3"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</row>
    <row r="38" spans="2:42" ht="15" customHeight="1" x14ac:dyDescent="0.3">
      <c r="B38" s="40" t="s">
        <v>9</v>
      </c>
      <c r="C38" s="35" t="e">
        <f t="shared" ref="C38:AO38" si="6">SUM(C39:C45)</f>
        <v>#REF!</v>
      </c>
      <c r="D38" s="35" t="e">
        <f t="shared" si="6"/>
        <v>#REF!</v>
      </c>
      <c r="E38" s="35" t="e">
        <f t="shared" si="6"/>
        <v>#REF!</v>
      </c>
      <c r="F38" s="35">
        <f t="shared" si="6"/>
        <v>0</v>
      </c>
      <c r="G38" s="35">
        <f t="shared" si="6"/>
        <v>0</v>
      </c>
      <c r="H38" s="35">
        <f t="shared" si="6"/>
        <v>0</v>
      </c>
      <c r="I38" s="35">
        <f t="shared" si="6"/>
        <v>0</v>
      </c>
      <c r="J38" s="35">
        <f t="shared" si="6"/>
        <v>0</v>
      </c>
      <c r="K38" s="35">
        <f t="shared" si="6"/>
        <v>0</v>
      </c>
      <c r="L38" s="35">
        <f t="shared" si="6"/>
        <v>0</v>
      </c>
      <c r="M38" s="35">
        <f t="shared" si="6"/>
        <v>0</v>
      </c>
      <c r="N38" s="35">
        <f t="shared" si="6"/>
        <v>0</v>
      </c>
      <c r="O38" s="35">
        <f t="shared" si="6"/>
        <v>0</v>
      </c>
      <c r="P38" s="35">
        <f t="shared" si="6"/>
        <v>0</v>
      </c>
      <c r="Q38" s="35">
        <f t="shared" si="6"/>
        <v>0</v>
      </c>
      <c r="R38" s="35">
        <f t="shared" si="6"/>
        <v>0</v>
      </c>
      <c r="S38" s="35">
        <f t="shared" si="6"/>
        <v>0</v>
      </c>
      <c r="T38" s="35">
        <f t="shared" si="6"/>
        <v>0</v>
      </c>
      <c r="U38" s="35">
        <f t="shared" si="6"/>
        <v>0</v>
      </c>
      <c r="V38" s="35">
        <f t="shared" si="6"/>
        <v>0</v>
      </c>
      <c r="W38" s="35">
        <f t="shared" si="6"/>
        <v>0</v>
      </c>
      <c r="X38" s="35">
        <f t="shared" si="6"/>
        <v>0</v>
      </c>
      <c r="Y38" s="35">
        <f t="shared" si="6"/>
        <v>0</v>
      </c>
      <c r="Z38" s="35">
        <f t="shared" si="6"/>
        <v>0</v>
      </c>
      <c r="AA38" s="35">
        <f t="shared" si="6"/>
        <v>0</v>
      </c>
      <c r="AB38" s="35">
        <f t="shared" si="6"/>
        <v>0</v>
      </c>
      <c r="AC38" s="35">
        <f t="shared" si="6"/>
        <v>0</v>
      </c>
      <c r="AD38" s="35">
        <f t="shared" si="6"/>
        <v>0</v>
      </c>
      <c r="AE38" s="35">
        <f t="shared" si="6"/>
        <v>0</v>
      </c>
      <c r="AF38" s="35">
        <f t="shared" si="6"/>
        <v>0</v>
      </c>
      <c r="AG38" s="35">
        <f t="shared" si="6"/>
        <v>0</v>
      </c>
      <c r="AH38" s="35">
        <f t="shared" si="6"/>
        <v>0</v>
      </c>
      <c r="AI38" s="35">
        <f t="shared" si="6"/>
        <v>0</v>
      </c>
      <c r="AJ38" s="35">
        <f t="shared" si="6"/>
        <v>0</v>
      </c>
      <c r="AK38" s="35">
        <f t="shared" si="6"/>
        <v>0</v>
      </c>
      <c r="AL38" s="35">
        <f t="shared" si="6"/>
        <v>0</v>
      </c>
      <c r="AM38" s="35">
        <f t="shared" si="6"/>
        <v>0</v>
      </c>
      <c r="AN38" s="35">
        <f t="shared" si="6"/>
        <v>0</v>
      </c>
      <c r="AO38" s="35">
        <f t="shared" si="6"/>
        <v>0</v>
      </c>
      <c r="AP38" s="35"/>
    </row>
    <row r="39" spans="2:42" ht="15" customHeight="1" x14ac:dyDescent="0.3">
      <c r="B39" s="43" t="s">
        <v>57</v>
      </c>
      <c r="C39" s="35">
        <v>0</v>
      </c>
      <c r="D39" s="35">
        <v>0</v>
      </c>
      <c r="E39" s="35">
        <v>0</v>
      </c>
      <c r="F39" s="35">
        <v>0</v>
      </c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35"/>
    </row>
    <row r="40" spans="2:42" ht="15" customHeight="1" x14ac:dyDescent="0.3">
      <c r="B40" s="43" t="s">
        <v>58</v>
      </c>
      <c r="C40" s="35">
        <v>0</v>
      </c>
      <c r="D40" s="35">
        <v>0</v>
      </c>
      <c r="E40" s="35">
        <v>0</v>
      </c>
      <c r="F40" s="35">
        <v>0</v>
      </c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35"/>
    </row>
    <row r="41" spans="2:42" ht="15" customHeight="1" x14ac:dyDescent="0.3">
      <c r="B41" s="43" t="s">
        <v>59</v>
      </c>
      <c r="C41" s="35">
        <v>0</v>
      </c>
      <c r="D41" s="35">
        <v>0</v>
      </c>
      <c r="E41" s="35">
        <v>0</v>
      </c>
      <c r="F41" s="35">
        <v>0</v>
      </c>
      <c r="H41" s="35"/>
      <c r="I41" s="35"/>
      <c r="J41" s="35"/>
      <c r="K41" s="35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35"/>
    </row>
    <row r="42" spans="2:42" ht="15" customHeight="1" x14ac:dyDescent="0.3">
      <c r="B42" s="43" t="s">
        <v>60</v>
      </c>
      <c r="C42" s="35">
        <v>0</v>
      </c>
      <c r="D42" s="35">
        <v>0</v>
      </c>
      <c r="E42" s="35">
        <v>0</v>
      </c>
      <c r="F42" s="35">
        <v>0</v>
      </c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35"/>
    </row>
    <row r="43" spans="2:42" ht="15" customHeight="1" x14ac:dyDescent="0.3">
      <c r="B43" s="43" t="s">
        <v>61</v>
      </c>
      <c r="C43" s="35">
        <v>0</v>
      </c>
      <c r="D43" s="35">
        <v>0</v>
      </c>
      <c r="E43" s="35">
        <v>0</v>
      </c>
      <c r="F43" s="35">
        <v>0</v>
      </c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35"/>
    </row>
    <row r="44" spans="2:42" x14ac:dyDescent="0.3">
      <c r="B44" s="34" t="s">
        <v>62</v>
      </c>
      <c r="C44" s="35">
        <v>0</v>
      </c>
      <c r="D44" s="35">
        <v>0</v>
      </c>
      <c r="E44" s="35">
        <v>0</v>
      </c>
      <c r="F44" s="35">
        <v>0</v>
      </c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</row>
    <row r="45" spans="2:42" x14ac:dyDescent="0.3">
      <c r="B45" s="5" t="s">
        <v>63</v>
      </c>
      <c r="C45" s="35" t="e">
        <f>SUM(#REF!)*(-0.02)</f>
        <v>#REF!</v>
      </c>
      <c r="D45" s="35" t="e">
        <f>SUM(#REF!)*(-0.02)</f>
        <v>#REF!</v>
      </c>
      <c r="E45" s="35" t="e">
        <f>SUM(#REF!)*(-0.02)</f>
        <v>#REF!</v>
      </c>
      <c r="F45" s="35">
        <v>0</v>
      </c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</row>
    <row r="46" spans="2:42" x14ac:dyDescent="0.3">
      <c r="B46" s="5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</row>
    <row r="47" spans="2:42" x14ac:dyDescent="0.3">
      <c r="B47" s="5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</row>
    <row r="48" spans="2:42" x14ac:dyDescent="0.3">
      <c r="B48" s="6" t="s">
        <v>64</v>
      </c>
      <c r="E48" s="35">
        <f>-205.7-424</f>
        <v>-629.70000000000005</v>
      </c>
      <c r="F48" s="35">
        <v>-652.54999999999995</v>
      </c>
      <c r="G48" s="41">
        <v>-205.7</v>
      </c>
      <c r="H48" s="41">
        <v>-205.7</v>
      </c>
      <c r="I48" s="41">
        <v>-205.7</v>
      </c>
      <c r="J48" s="41">
        <v>-205.7</v>
      </c>
      <c r="K48" s="41">
        <v>-205.7</v>
      </c>
      <c r="L48" s="41">
        <v>-205.7</v>
      </c>
      <c r="M48" s="41">
        <v>-205.7</v>
      </c>
      <c r="N48" s="41">
        <v>-205.7</v>
      </c>
      <c r="O48" s="41">
        <v>-205.7</v>
      </c>
      <c r="P48" s="41">
        <v>-205.7</v>
      </c>
      <c r="Q48" s="41">
        <v>-205.7</v>
      </c>
      <c r="R48" s="41">
        <v>-205.7</v>
      </c>
      <c r="S48" s="41">
        <v>-205.7</v>
      </c>
      <c r="T48" s="41">
        <v>-205.7</v>
      </c>
      <c r="U48" s="41">
        <v>-205.7</v>
      </c>
      <c r="V48" s="41">
        <v>-205.7</v>
      </c>
      <c r="W48" s="41">
        <v>-205.7</v>
      </c>
      <c r="X48" s="41">
        <v>-205.7</v>
      </c>
      <c r="Y48" s="41">
        <v>-205.7</v>
      </c>
      <c r="Z48" s="41">
        <v>-205.7</v>
      </c>
      <c r="AA48" s="41">
        <v>-205.7</v>
      </c>
      <c r="AB48" s="41">
        <v>-205.7</v>
      </c>
      <c r="AC48" s="41">
        <v>-205.7</v>
      </c>
      <c r="AD48" s="41">
        <v>-205.7</v>
      </c>
      <c r="AE48" s="41">
        <v>-205.7</v>
      </c>
      <c r="AF48" s="41">
        <v>-205.7</v>
      </c>
      <c r="AG48" s="41">
        <v>-205.7</v>
      </c>
      <c r="AH48" s="41">
        <v>-205.7</v>
      </c>
      <c r="AI48" s="41">
        <v>-205.7</v>
      </c>
      <c r="AJ48" s="41">
        <v>-205.7</v>
      </c>
      <c r="AK48" s="41">
        <v>-205.7</v>
      </c>
      <c r="AL48" s="41">
        <v>-205.7</v>
      </c>
      <c r="AM48" s="41">
        <v>-205.7</v>
      </c>
      <c r="AN48" s="41">
        <v>-205.7</v>
      </c>
      <c r="AO48" s="41">
        <v>-205.7</v>
      </c>
    </row>
    <row r="50" spans="1:42" x14ac:dyDescent="0.3">
      <c r="B50" s="6" t="s">
        <v>65</v>
      </c>
      <c r="G50" s="41">
        <v>-126.24</v>
      </c>
      <c r="H50" s="41">
        <v>-110.37</v>
      </c>
      <c r="I50" s="41">
        <v>-108</v>
      </c>
      <c r="J50" s="41">
        <v>-108</v>
      </c>
      <c r="K50" s="41">
        <v>-108</v>
      </c>
      <c r="L50" s="41">
        <v>-108</v>
      </c>
      <c r="M50" s="41">
        <v>-108</v>
      </c>
      <c r="N50" s="41">
        <v>-108</v>
      </c>
      <c r="O50" s="41">
        <v>-108</v>
      </c>
      <c r="P50" s="41">
        <v>-108</v>
      </c>
      <c r="Q50" s="41">
        <v>-108</v>
      </c>
      <c r="R50" s="41">
        <v>-108</v>
      </c>
      <c r="S50" s="41">
        <v>-108</v>
      </c>
      <c r="T50" s="41">
        <v>-108</v>
      </c>
      <c r="U50" s="41">
        <v>-108</v>
      </c>
      <c r="V50" s="41">
        <v>-108</v>
      </c>
      <c r="W50" s="41">
        <v>-108</v>
      </c>
      <c r="X50" s="41">
        <v>-108</v>
      </c>
      <c r="Y50" s="41">
        <v>-108</v>
      </c>
      <c r="Z50" s="41">
        <v>-108</v>
      </c>
      <c r="AA50" s="41">
        <v>-108</v>
      </c>
      <c r="AB50" s="41">
        <v>-108</v>
      </c>
      <c r="AC50" s="41">
        <v>-108</v>
      </c>
      <c r="AD50" s="41">
        <v>-108</v>
      </c>
      <c r="AE50" s="41">
        <v>-108</v>
      </c>
      <c r="AF50" s="41">
        <v>-108</v>
      </c>
      <c r="AG50" s="41">
        <v>-108</v>
      </c>
      <c r="AH50" s="41">
        <v>-108</v>
      </c>
      <c r="AI50" s="41">
        <v>-108</v>
      </c>
      <c r="AJ50" s="41">
        <v>-108</v>
      </c>
      <c r="AK50" s="41">
        <v>-108</v>
      </c>
      <c r="AL50" s="41">
        <v>-108</v>
      </c>
      <c r="AM50" s="41">
        <v>-108</v>
      </c>
      <c r="AN50" s="41">
        <v>-108</v>
      </c>
      <c r="AO50" s="41">
        <v>-108</v>
      </c>
    </row>
    <row r="54" spans="1:42" x14ac:dyDescent="0.3">
      <c r="B54" s="6" t="s">
        <v>66</v>
      </c>
    </row>
    <row r="55" spans="1:42" x14ac:dyDescent="0.3">
      <c r="B55" s="34" t="s">
        <v>67</v>
      </c>
      <c r="C55" s="35">
        <v>0</v>
      </c>
      <c r="D55" s="35">
        <v>0</v>
      </c>
      <c r="E55" s="35">
        <v>0</v>
      </c>
      <c r="F55" s="35">
        <v>0</v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</row>
    <row r="56" spans="1:42" x14ac:dyDescent="0.3">
      <c r="B56" s="34" t="s">
        <v>68</v>
      </c>
      <c r="C56" s="35">
        <v>0</v>
      </c>
      <c r="D56" s="35">
        <v>0</v>
      </c>
      <c r="E56" s="35">
        <v>0</v>
      </c>
      <c r="F56" s="35">
        <v>0</v>
      </c>
      <c r="G56" s="41">
        <v>-491.87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</row>
    <row r="58" spans="1:42" s="32" customFormat="1" ht="15" customHeight="1" x14ac:dyDescent="0.3">
      <c r="A58" s="28"/>
      <c r="B58" s="29" t="s">
        <v>69</v>
      </c>
      <c r="C58" s="44">
        <f>SUM(C59:C62)</f>
        <v>3000</v>
      </c>
      <c r="D58" s="44">
        <f>SUM(D59:D62)</f>
        <v>0</v>
      </c>
      <c r="E58" s="44" t="e">
        <f>D58+E4</f>
        <v>#REF!</v>
      </c>
      <c r="F58" s="44" t="e">
        <f>E58+F4</f>
        <v>#REF!</v>
      </c>
      <c r="G58" s="44" t="e">
        <f>F58+G4</f>
        <v>#REF!</v>
      </c>
      <c r="H58" s="44" t="e">
        <f>G58+H4</f>
        <v>#REF!</v>
      </c>
      <c r="I58" s="44" t="e">
        <f>H58+I4</f>
        <v>#REF!</v>
      </c>
      <c r="J58" s="44" t="e">
        <f>I58+J4</f>
        <v>#REF!</v>
      </c>
      <c r="K58" s="44" t="e">
        <f>J58+K4</f>
        <v>#REF!</v>
      </c>
      <c r="L58" s="44" t="e">
        <f>K58+L4</f>
        <v>#REF!</v>
      </c>
      <c r="M58" s="44" t="e">
        <f>L58+M4</f>
        <v>#REF!</v>
      </c>
      <c r="N58" s="44" t="e">
        <f>M58+N4</f>
        <v>#REF!</v>
      </c>
      <c r="O58" s="44" t="e">
        <f>N58+O4</f>
        <v>#REF!</v>
      </c>
      <c r="P58" s="44" t="e">
        <f>O58+P4</f>
        <v>#REF!</v>
      </c>
      <c r="Q58" s="44" t="e">
        <f>P58+Q4</f>
        <v>#REF!</v>
      </c>
      <c r="R58" s="44" t="e">
        <f>Q58+R4</f>
        <v>#REF!</v>
      </c>
      <c r="S58" s="44" t="e">
        <f>R58+S4</f>
        <v>#REF!</v>
      </c>
      <c r="T58" s="44" t="e">
        <f>S58+T4</f>
        <v>#REF!</v>
      </c>
      <c r="U58" s="44" t="e">
        <f>T58+U4</f>
        <v>#REF!</v>
      </c>
      <c r="V58" s="44" t="e">
        <f>U58+V4</f>
        <v>#REF!</v>
      </c>
      <c r="W58" s="44" t="e">
        <f>V58+W4</f>
        <v>#REF!</v>
      </c>
      <c r="X58" s="44" t="e">
        <f>W58+X4</f>
        <v>#REF!</v>
      </c>
      <c r="Y58" s="44" t="e">
        <f>X58+Y4</f>
        <v>#REF!</v>
      </c>
      <c r="Z58" s="44" t="e">
        <f>Y58+Z4</f>
        <v>#REF!</v>
      </c>
      <c r="AA58" s="44" t="e">
        <f>Z58+AA4</f>
        <v>#REF!</v>
      </c>
      <c r="AB58" s="44" t="e">
        <f>AA58+AB4</f>
        <v>#REF!</v>
      </c>
      <c r="AC58" s="44" t="e">
        <f>AB58+AC4</f>
        <v>#REF!</v>
      </c>
      <c r="AD58" s="44" t="e">
        <f>AC58+AD4</f>
        <v>#REF!</v>
      </c>
      <c r="AE58" s="44" t="e">
        <f>AD58+AE4</f>
        <v>#REF!</v>
      </c>
      <c r="AF58" s="44" t="e">
        <f>AE58+AF4</f>
        <v>#REF!</v>
      </c>
      <c r="AG58" s="44" t="e">
        <f>AF58+AG4</f>
        <v>#REF!</v>
      </c>
      <c r="AH58" s="44" t="e">
        <f>AG58+AH4</f>
        <v>#REF!</v>
      </c>
      <c r="AI58" s="44" t="e">
        <f>AH58+AI4</f>
        <v>#REF!</v>
      </c>
      <c r="AJ58" s="44" t="e">
        <f>AI58+AJ4</f>
        <v>#REF!</v>
      </c>
      <c r="AK58" s="44" t="e">
        <f>AJ58+AK4</f>
        <v>#REF!</v>
      </c>
      <c r="AL58" s="44" t="e">
        <f>AK58+AL4</f>
        <v>#REF!</v>
      </c>
      <c r="AM58" s="44" t="e">
        <f>AL58+AM4</f>
        <v>#REF!</v>
      </c>
      <c r="AN58" s="44" t="e">
        <f>AM58+AN4</f>
        <v>#REF!</v>
      </c>
      <c r="AO58" s="44" t="e">
        <f>AN58+AO4</f>
        <v>#REF!</v>
      </c>
      <c r="AP58" s="36"/>
    </row>
    <row r="59" spans="1:42" ht="15" customHeight="1" x14ac:dyDescent="0.3">
      <c r="B59" s="43" t="s">
        <v>70</v>
      </c>
      <c r="C59" s="45">
        <v>3000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36"/>
    </row>
    <row r="60" spans="1:42" ht="15" customHeight="1" x14ac:dyDescent="0.3">
      <c r="B60" s="43" t="s">
        <v>71</v>
      </c>
      <c r="C60" s="45"/>
      <c r="D60" s="45"/>
      <c r="E60" s="45"/>
      <c r="F60" s="45">
        <v>38000</v>
      </c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36"/>
    </row>
    <row r="61" spans="1:42" ht="15" customHeight="1" x14ac:dyDescent="0.3">
      <c r="B61" s="43" t="s">
        <v>72</v>
      </c>
      <c r="C61" s="45"/>
      <c r="D61" s="45"/>
      <c r="E61" s="45"/>
      <c r="F61" s="45"/>
      <c r="G61" s="45"/>
      <c r="H61" s="45">
        <v>24000</v>
      </c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36"/>
    </row>
    <row r="62" spans="1:42" x14ac:dyDescent="0.3">
      <c r="B62" s="34" t="s">
        <v>37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</row>
    <row r="63" spans="1:42" x14ac:dyDescent="0.3">
      <c r="C63" s="45"/>
      <c r="D63" s="45"/>
      <c r="E63" s="45"/>
      <c r="F63" s="45"/>
      <c r="G63" s="45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PRECIOS</vt:lpstr>
      <vt:lpstr>HORARIO</vt:lpstr>
      <vt:lpstr>ALUMNOS</vt:lpstr>
      <vt:lpstr>RESUMEN ALUMNOS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Muliterno</dc:creator>
  <cp:lastModifiedBy>Victor Muliterno</cp:lastModifiedBy>
  <dcterms:created xsi:type="dcterms:W3CDTF">2026-06-12T13:50:01Z</dcterms:created>
  <dcterms:modified xsi:type="dcterms:W3CDTF">2026-06-12T17:11:26Z</dcterms:modified>
</cp:coreProperties>
</file>